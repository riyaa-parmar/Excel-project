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Excel Project\"/>
    </mc:Choice>
  </mc:AlternateContent>
  <xr:revisionPtr revIDLastSave="0" documentId="8_{F74FE630-7B44-4FF0-98AE-24816E421D19}" xr6:coauthVersionLast="45" xr6:coauthVersionMax="45" xr10:uidLastSave="{00000000-0000-0000-0000-000000000000}"/>
  <bookViews>
    <workbookView xWindow="-110" yWindow="-110" windowWidth="19420" windowHeight="11020" activeTab="3" xr2:uid="{7809D100-58F9-4696-B4BA-84A0B827F7EA}"/>
  </bookViews>
  <sheets>
    <sheet name="Instruction" sheetId="6" r:id="rId1"/>
    <sheet name="Report" sheetId="7" r:id="rId2"/>
    <sheet name="DashBoard" sheetId="4" r:id="rId3"/>
    <sheet name="Analysis" sheetId="5" r:id="rId4"/>
    <sheet name="PivotTable" sheetId="3" r:id="rId5"/>
    <sheet name="Scenario Summary" sheetId="10" r:id="rId6"/>
    <sheet name="Linear Regression" sheetId="9" r:id="rId7"/>
    <sheet name="CleanData" sheetId="2" r:id="rId8"/>
    <sheet name="RowData" sheetId="1" r:id="rId9"/>
  </sheets>
  <definedNames>
    <definedName name="Slicer_Category">#N/A</definedName>
    <definedName name="Slicer_Region">#N/A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0" i="5" l="1"/>
  <c r="X10" i="5"/>
  <c r="AA2" i="2" l="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J11" i="5"/>
  <c r="J8" i="5"/>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J14" i="5" l="1"/>
  <c r="J5" i="5"/>
  <c r="D14" i="5"/>
  <c r="D11" i="5"/>
  <c r="D8" i="5"/>
  <c r="D5" i="5"/>
  <c r="V500" i="2" l="1"/>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alcChain>
</file>

<file path=xl/sharedStrings.xml><?xml version="1.0" encoding="utf-8"?>
<sst xmlns="http://schemas.openxmlformats.org/spreadsheetml/2006/main" count="13573" uniqueCount="1804">
  <si>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</si>
  <si>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</si>
  <si>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</si>
  <si>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</si>
  <si>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</si>
  <si>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</si>
  <si>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</si>
  <si>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</si>
  <si>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</si>
  <si>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</si>
  <si>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</si>
  <si>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</si>
  <si>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</si>
  <si>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</si>
  <si>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</si>
  <si>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</si>
  <si>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</si>
  <si>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</si>
  <si>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</si>
  <si>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</si>
  <si>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</si>
  <si>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</si>
  <si>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</si>
  <si>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</si>
  <si>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</si>
  <si>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</si>
  <si>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</si>
  <si>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</si>
  <si>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</si>
  <si>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</si>
  <si>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</si>
  <si>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</si>
  <si>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</si>
  <si>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</si>
  <si>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</si>
  <si>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</si>
  <si>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</si>
  <si>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</si>
  <si>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</si>
  <si>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</si>
  <si>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</si>
  <si>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</si>
  <si>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</si>
  <si>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</si>
  <si>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</si>
  <si>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</si>
  <si>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</si>
  <si>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</si>
  <si>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</si>
  <si>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</si>
  <si>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</si>
  <si>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</si>
  <si>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</si>
  <si>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</si>
  <si>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</si>
  <si>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</si>
  <si>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</si>
  <si>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</si>
  <si>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</si>
  <si>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</si>
  <si>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</si>
  <si>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</si>
  <si>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</si>
  <si>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</si>
  <si>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</si>
  <si>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</si>
  <si>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</si>
  <si>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</si>
  <si>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</si>
  <si>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</si>
  <si>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</si>
  <si>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</si>
  <si>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</si>
  <si>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</si>
  <si>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</si>
  <si>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</si>
  <si>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</si>
  <si>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</si>
  <si>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</si>
  <si>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</si>
  <si>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</si>
  <si>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</si>
  <si>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</si>
  <si>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</si>
  <si>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</si>
  <si>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</si>
  <si>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</si>
  <si>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</si>
  <si>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</si>
  <si>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</si>
  <si>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</si>
  <si>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</si>
  <si>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</si>
  <si>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</si>
  <si>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</si>
  <si>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</si>
  <si>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</si>
  <si>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</si>
  <si>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</si>
  <si>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</si>
  <si>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</si>
  <si>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</si>
  <si>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</si>
  <si>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</si>
  <si>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</si>
  <si>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</si>
  <si>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</si>
  <si>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</si>
  <si>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</si>
  <si>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</si>
  <si>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</si>
  <si>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</si>
  <si>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</si>
  <si>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</si>
  <si>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</si>
  <si>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</si>
  <si>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</si>
  <si>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</si>
  <si>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</si>
  <si>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</si>
  <si>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</si>
  <si>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</si>
  <si>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</si>
  <si>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</si>
  <si>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</si>
  <si>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</si>
  <si>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</si>
  <si>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</si>
  <si>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</si>
  <si>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</si>
  <si>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</si>
  <si>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</si>
  <si>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</si>
  <si>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</si>
  <si>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</si>
  <si>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</si>
  <si>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</si>
  <si>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</si>
  <si>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</si>
  <si>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</si>
  <si>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</si>
  <si>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</si>
  <si>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</si>
  <si>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</si>
  <si>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</si>
  <si>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</si>
  <si>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</si>
  <si>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</si>
  <si>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</si>
  <si>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</si>
  <si>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</si>
  <si>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</si>
  <si>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</si>
  <si>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</si>
  <si>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</si>
  <si>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</si>
  <si>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</si>
  <si>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</si>
  <si>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</si>
  <si>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</si>
  <si>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</si>
  <si>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</si>
  <si>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</si>
  <si>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</si>
  <si>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</si>
  <si>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</si>
  <si>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</si>
  <si>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</si>
  <si>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</si>
  <si>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</si>
  <si>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</si>
  <si>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</si>
  <si>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</si>
  <si>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</si>
  <si>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</si>
  <si>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</si>
  <si>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</si>
  <si>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</si>
  <si>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</si>
  <si>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</si>
  <si>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</si>
  <si>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</si>
  <si>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</si>
  <si>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</si>
  <si>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</si>
  <si>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</si>
  <si>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</si>
  <si>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</si>
  <si>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</si>
  <si>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</si>
  <si>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</si>
  <si>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</si>
  <si>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</si>
  <si>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</si>
  <si>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</si>
  <si>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</si>
  <si>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</si>
  <si>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</si>
  <si>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</si>
  <si>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</si>
  <si>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</si>
  <si>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</si>
  <si>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</si>
  <si>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</si>
  <si>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</si>
  <si>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</si>
  <si>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</si>
  <si>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</si>
  <si>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</si>
  <si>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</si>
  <si>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</si>
  <si>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</si>
  <si>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</si>
  <si>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</si>
  <si>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</si>
  <si>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</si>
  <si>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</si>
  <si>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</si>
  <si>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</si>
  <si>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</si>
  <si>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</si>
  <si>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</si>
  <si>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</si>
  <si>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</si>
  <si>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</si>
  <si>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</si>
  <si>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</si>
  <si>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</si>
  <si>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</si>
  <si>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</si>
  <si>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</si>
  <si>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</si>
  <si>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</si>
  <si>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</si>
  <si>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</si>
  <si>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</si>
  <si>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</si>
  <si>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</si>
  <si>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</si>
  <si>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</si>
  <si>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</si>
  <si>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</si>
  <si>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</si>
  <si>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</si>
  <si>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</si>
  <si>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</si>
  <si>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</si>
  <si>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</si>
  <si>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</si>
  <si>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</si>
  <si>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</si>
  <si>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</si>
  <si>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</si>
  <si>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</si>
  <si>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</si>
  <si>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</si>
  <si>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</si>
  <si>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</si>
  <si>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</si>
  <si>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</si>
  <si>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</si>
  <si>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</si>
  <si>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</si>
  <si>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</si>
  <si>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</si>
  <si>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</si>
  <si>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</si>
  <si>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</si>
  <si>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</si>
  <si>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</si>
  <si>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</si>
  <si>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</si>
  <si>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</si>
  <si>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</si>
  <si>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</si>
  <si>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</si>
  <si>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</si>
  <si>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</si>
  <si>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</si>
  <si>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</si>
  <si>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</si>
  <si>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</si>
  <si>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</si>
  <si>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</si>
  <si>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</si>
  <si>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</si>
  <si>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</si>
  <si>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</si>
  <si>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</si>
  <si>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</si>
  <si>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</si>
  <si>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</si>
  <si>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</si>
  <si>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</si>
  <si>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</si>
  <si>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</si>
  <si>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</si>
  <si>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</si>
  <si>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</si>
  <si>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</si>
  <si>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</si>
  <si>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</si>
  <si>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</si>
  <si>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</si>
  <si>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</si>
  <si>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</si>
  <si>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</si>
  <si>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</si>
  <si>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</si>
  <si>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</si>
  <si>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</si>
  <si>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</si>
  <si>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</si>
  <si>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</si>
  <si>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</si>
  <si>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</si>
  <si>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</si>
  <si>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</si>
  <si>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</si>
  <si>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</si>
  <si>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</si>
  <si>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</si>
  <si>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</si>
  <si>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</si>
  <si>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</si>
  <si>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</si>
  <si>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</si>
  <si>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</si>
  <si>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</si>
  <si>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</si>
  <si>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</si>
  <si>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</si>
  <si>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</si>
  <si>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</si>
  <si>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</si>
  <si>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</si>
  <si>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</si>
  <si>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</si>
  <si>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</si>
  <si>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</si>
  <si>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</si>
  <si>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</si>
  <si>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</si>
  <si>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</si>
  <si>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</si>
  <si>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</si>
  <si>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</si>
  <si>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</si>
  <si>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</si>
  <si>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</si>
  <si>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</si>
  <si>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</si>
  <si>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</si>
  <si>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</si>
  <si>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</si>
  <si>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</si>
  <si>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</si>
  <si>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</si>
  <si>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</si>
  <si>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</si>
  <si>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</si>
  <si>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</si>
  <si>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</si>
  <si>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</si>
  <si>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</si>
  <si>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</si>
  <si>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</si>
  <si>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</si>
  <si>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</si>
  <si>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</si>
  <si>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</si>
  <si>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</si>
  <si>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</si>
  <si>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</si>
  <si>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</si>
  <si>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</si>
  <si>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</si>
  <si>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</si>
  <si>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</si>
  <si>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</si>
  <si>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</si>
  <si>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</si>
  <si>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</si>
  <si>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</si>
  <si>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</si>
  <si>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</si>
  <si>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</si>
  <si>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</si>
  <si>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</si>
  <si>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</si>
  <si>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</si>
  <si>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</si>
  <si>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</si>
  <si>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</si>
  <si>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</si>
  <si>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</si>
  <si>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</si>
  <si>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</si>
  <si>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</si>
  <si>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</si>
  <si>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</si>
  <si>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</si>
  <si>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</si>
  <si>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</si>
  <si>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</si>
  <si>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</si>
  <si>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</si>
  <si>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</si>
  <si>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</si>
  <si>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</si>
  <si>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</si>
  <si>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</si>
  <si>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</si>
  <si>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</si>
  <si>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</si>
  <si>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</si>
  <si>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</si>
  <si>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</si>
  <si>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</si>
  <si>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</si>
  <si>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</si>
  <si>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</si>
  <si>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</si>
  <si>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</si>
  <si>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</si>
  <si>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</si>
  <si>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</si>
  <si>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</si>
  <si>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</si>
  <si>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</si>
  <si>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</si>
  <si>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</si>
  <si>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</si>
  <si>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</si>
  <si>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</si>
  <si>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</si>
  <si>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</si>
  <si>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</si>
  <si>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</si>
  <si>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</si>
  <si>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</si>
  <si>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</si>
  <si>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</si>
  <si>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</si>
  <si>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</si>
  <si>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</si>
  <si>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</si>
  <si>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</si>
  <si>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</si>
  <si>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</si>
  <si>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</si>
  <si>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</si>
  <si>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</si>
  <si>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</si>
  <si>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</si>
  <si>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</si>
  <si>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</si>
  <si>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</si>
  <si>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</si>
  <si>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</si>
  <si>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</si>
  <si>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</si>
  <si>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</si>
  <si>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</si>
  <si>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</si>
  <si>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</si>
  <si>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</si>
  <si>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</si>
  <si>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</si>
  <si>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</si>
  <si>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</si>
  <si>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</si>
  <si>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</si>
  <si>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</si>
  <si>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</si>
  <si>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</si>
  <si>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</si>
  <si>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</si>
  <si>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</si>
  <si>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</si>
  <si>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</si>
  <si>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</si>
  <si>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</si>
  <si>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</si>
  <si>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</si>
  <si>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</si>
  <si>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</si>
  <si>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</si>
  <si>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</si>
  <si>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</si>
  <si>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</si>
  <si>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</si>
  <si>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</si>
  <si>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</si>
  <si>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</si>
  <si>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</si>
  <si>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</si>
  <si>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</si>
  <si>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</si>
  <si>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</si>
  <si>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</si>
  <si>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</si>
  <si>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</si>
  <si>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</si>
  <si>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</si>
  <si>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</si>
  <si>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</si>
  <si>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</si>
  <si>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</si>
  <si>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</si>
  <si>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</si>
  <si>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</si>
  <si>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</si>
  <si>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</si>
  <si>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</si>
  <si>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</si>
  <si>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</si>
  <si>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</si>
  <si>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</si>
  <si>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</si>
  <si>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</si>
  <si>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</si>
  <si>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</si>
  <si>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</si>
  <si>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</si>
  <si>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</si>
  <si>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</si>
  <si>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</si>
  <si>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</si>
  <si>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</si>
  <si>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</si>
  <si>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</si>
  <si>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</si>
  <si>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</si>
  <si>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</si>
  <si>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</si>
  <si>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</si>
  <si>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</si>
  <si>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</si>
  <si>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</si>
  <si>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</si>
  <si>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</si>
  <si>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</si>
  <si>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</si>
  <si>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</si>
  <si>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</si>
  <si>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</si>
  <si>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</si>
  <si>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</si>
  <si>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</si>
  <si>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</si>
  <si>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</si>
  <si>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</si>
  <si>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</si>
  <si>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</si>
  <si>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</si>
  <si>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</si>
  <si>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</si>
  <si>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</si>
  <si>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</si>
  <si>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</si>
  <si>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</si>
  <si>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</si>
  <si>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</si>
  <si>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</si>
  <si>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</si>
  <si>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</si>
  <si>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</si>
  <si>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</si>
  <si>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</si>
  <si>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</si>
  <si>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</si>
  <si>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</si>
  <si>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</si>
  <si>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</si>
  <si>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</si>
  <si>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</si>
  <si>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</si>
  <si>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</si>
  <si>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</si>
  <si>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</si>
  <si>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</si>
  <si>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</si>
  <si>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</si>
  <si>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</si>
  <si>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</si>
  <si>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</si>
  <si>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</si>
  <si>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</si>
  <si>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</si>
  <si>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</si>
  <si>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</si>
  <si>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</si>
  <si>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</si>
  <si>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</si>
  <si>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</si>
  <si>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</si>
  <si>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</si>
  <si>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</si>
  <si>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</si>
  <si>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</si>
  <si>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</si>
  <si>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</si>
  <si>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</si>
  <si>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</si>
  <si>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</si>
  <si>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</si>
  <si>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</si>
  <si>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</si>
  <si>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</si>
  <si>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</si>
  <si>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</si>
  <si>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</si>
  <si>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</si>
  <si>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</si>
  <si>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</si>
  <si>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</si>
  <si>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</si>
  <si>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</si>
  <si>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</si>
  <si>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</si>
  <si>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</si>
  <si>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</si>
  <si>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</si>
  <si>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</si>
  <si>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</si>
  <si>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</si>
  <si>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</si>
  <si>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</si>
  <si>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</si>
  <si>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</si>
  <si>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</si>
  <si>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</si>
  <si>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</si>
  <si>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</si>
  <si>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</si>
  <si>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</si>
  <si>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</si>
  <si>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</si>
  <si>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</si>
  <si>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</si>
  <si>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</si>
  <si>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</si>
  <si>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</si>
  <si>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</si>
  <si>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</si>
  <si>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</si>
  <si>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</si>
  <si>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</si>
  <si>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</si>
  <si>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</si>
  <si>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</si>
  <si>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</si>
  <si>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</si>
  <si>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</si>
  <si>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</si>
  <si>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</si>
  <si>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</si>
  <si>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</si>
  <si>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</si>
  <si>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</si>
  <si>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</si>
  <si>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</si>
  <si>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</si>
  <si>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</si>
  <si>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</si>
  <si>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</si>
  <si>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</si>
  <si>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</si>
  <si>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</si>
  <si>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</si>
  <si>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</si>
  <si>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</si>
  <si>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</si>
  <si>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</si>
  <si>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</si>
  <si>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</si>
  <si>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</si>
  <si>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</si>
  <si>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</si>
  <si>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</si>
  <si>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</si>
  <si>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</si>
  <si>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</si>
  <si>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</si>
  <si>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</si>
  <si>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</si>
  <si>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</si>
  <si>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</si>
  <si>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</si>
  <si>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</si>
  <si>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</si>
  <si>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</si>
  <si>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</si>
  <si>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</si>
  <si>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</si>
  <si>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</si>
  <si>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</si>
  <si>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</si>
  <si>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</si>
  <si>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</si>
  <si>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</si>
  <si>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</si>
  <si>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</si>
  <si>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</si>
  <si>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</si>
  <si>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</si>
  <si>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</si>
  <si>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</si>
  <si>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</si>
  <si>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</si>
  <si>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</si>
  <si>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</si>
  <si>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</si>
  <si>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</si>
  <si>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</si>
  <si>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</si>
  <si>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</si>
  <si>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</si>
  <si>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</si>
  <si>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</si>
  <si>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</si>
  <si>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</si>
  <si>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</si>
  <si>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</si>
  <si>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</si>
  <si>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</si>
  <si>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</si>
  <si>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</si>
  <si>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</si>
  <si>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</si>
  <si>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</si>
  <si>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</si>
  <si>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</si>
  <si>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</si>
  <si>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</si>
  <si>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</si>
  <si>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</si>
  <si>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</si>
  <si>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</si>
  <si>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</si>
  <si>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</si>
  <si>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</si>
  <si>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</si>
  <si>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</si>
  <si>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</si>
  <si>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</si>
  <si>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</si>
  <si>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</si>
  <si>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</si>
  <si>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</si>
  <si>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</si>
  <si>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</si>
  <si>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</si>
  <si>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</si>
  <si>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</si>
  <si>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</si>
  <si>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</si>
  <si>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</si>
  <si>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</si>
  <si>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</si>
  <si>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</si>
  <si>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</si>
  <si>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</si>
  <si>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</si>
  <si>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</si>
  <si>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</si>
  <si>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</si>
  <si>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</si>
  <si>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</si>
  <si>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</si>
  <si>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</si>
  <si>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</si>
  <si>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</si>
  <si>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</si>
  <si>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</si>
  <si>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</si>
  <si>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</si>
  <si>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</si>
  <si>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</si>
  <si>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</si>
  <si>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</si>
  <si>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</si>
  <si>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</si>
  <si>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</si>
  <si>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</si>
  <si>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</si>
  <si>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</si>
  <si>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</si>
  <si>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</si>
  <si>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</si>
  <si>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</si>
  <si>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</si>
  <si>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</si>
  <si>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</si>
  <si>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</si>
  <si>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</si>
  <si>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</si>
  <si>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</si>
  <si>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</si>
  <si>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</si>
  <si>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</si>
  <si>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</si>
  <si>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</si>
  <si>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</si>
  <si>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</si>
  <si>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</si>
  <si>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</si>
  <si>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</si>
  <si>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</si>
  <si>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</si>
  <si>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</si>
  <si>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</si>
  <si>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</si>
  <si>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</si>
  <si>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</si>
  <si>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</si>
  <si>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</si>
  <si>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</si>
  <si>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</si>
  <si>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</si>
  <si>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</si>
  <si>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</si>
  <si>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</si>
  <si>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</si>
  <si>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</si>
  <si>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</si>
  <si>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</si>
  <si>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</si>
  <si>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</si>
  <si>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</si>
  <si>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</si>
  <si>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</si>
  <si>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</si>
  <si>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</si>
  <si>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</si>
  <si>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</si>
  <si>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</si>
  <si>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</si>
  <si>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</si>
  <si>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</si>
  <si>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</si>
  <si>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</si>
  <si>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</si>
  <si>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</si>
  <si>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</si>
  <si>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</si>
  <si>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</si>
  <si>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</si>
  <si>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</si>
  <si>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</si>
  <si>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</si>
  <si>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</si>
  <si>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</si>
  <si>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</si>
  <si>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</si>
  <si>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</si>
  <si>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</si>
  <si>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</si>
  <si>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</si>
  <si>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</si>
  <si>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</si>
  <si>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</si>
  <si>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</si>
  <si>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</si>
  <si>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</si>
  <si>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</si>
  <si>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</si>
  <si>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</si>
  <si>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</si>
  <si>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</si>
  <si>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</si>
  <si>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</si>
  <si>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</si>
  <si>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</si>
  <si>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</si>
  <si>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</si>
  <si>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</si>
  <si>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</si>
  <si>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</si>
  <si>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</si>
  <si>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</si>
  <si>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</si>
  <si>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</si>
  <si>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</si>
  <si>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</si>
  <si>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</si>
  <si>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</si>
  <si>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</si>
  <si>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</si>
  <si>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</si>
  <si>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</si>
  <si>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</si>
  <si>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</si>
  <si>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</si>
  <si>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</si>
  <si>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</si>
  <si>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</si>
  <si>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</si>
  <si>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</si>
  <si>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</si>
  <si>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</si>
  <si>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</si>
  <si>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</si>
  <si>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</si>
  <si>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</si>
  <si>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</si>
  <si>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</si>
  <si>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</si>
  <si>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</si>
  <si>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</si>
  <si>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</si>
  <si>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</si>
  <si>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</si>
  <si>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</si>
  <si>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</si>
  <si>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</si>
  <si>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</si>
  <si>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</si>
  <si>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</si>
  <si>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</si>
  <si>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</si>
  <si>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</si>
  <si>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</si>
  <si>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</si>
  <si>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</si>
  <si>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</si>
  <si>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</si>
  <si>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</si>
  <si>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</si>
  <si>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</si>
  <si>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</si>
  <si>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</si>
  <si>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</si>
  <si>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</si>
  <si>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</si>
  <si>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</si>
  <si>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</si>
  <si>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</si>
  <si>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</si>
  <si>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</si>
  <si>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</si>
  <si>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</si>
  <si>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</si>
  <si>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</si>
  <si>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</si>
  <si>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</si>
  <si>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</si>
  <si>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</si>
  <si>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</si>
  <si>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</si>
  <si>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</si>
  <si>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</si>
  <si>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</si>
  <si>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</si>
  <si>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</si>
  <si>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</si>
  <si>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</si>
  <si>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</si>
  <si>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</si>
  <si>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</si>
  <si>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</si>
  <si>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</si>
  <si>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</si>
  <si>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</si>
  <si>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</si>
  <si>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</si>
  <si>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</si>
  <si>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</si>
  <si>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</si>
  <si>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</si>
  <si>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</si>
  <si>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</si>
  <si>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</si>
  <si>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</si>
  <si>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</si>
  <si>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</si>
  <si>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</si>
  <si>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</si>
  <si>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</si>
  <si>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</si>
  <si>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</si>
  <si>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</si>
  <si>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</si>
  <si>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</si>
  <si>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</si>
  <si>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</si>
  <si>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</si>
  <si>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</si>
  <si>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</si>
  <si>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</si>
  <si>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</si>
  <si>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</si>
  <si>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</si>
  <si>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</si>
  <si>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</si>
  <si>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</si>
  <si>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</si>
  <si>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</si>
  <si>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</si>
  <si>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</si>
  <si>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</si>
  <si>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</si>
  <si>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</si>
  <si>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</si>
  <si>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</si>
  <si>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</si>
  <si>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</si>
  <si>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</si>
  <si>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</si>
  <si>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</si>
  <si>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</si>
  <si>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</si>
  <si>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</si>
  <si>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</si>
  <si>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</si>
  <si>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</si>
  <si>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</si>
  <si>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</si>
  <si>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</si>
  <si>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</si>
  <si>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</si>
  <si>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</si>
  <si>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</si>
  <si>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</si>
  <si>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</si>
  <si>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</si>
  <si>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</si>
  <si>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</si>
  <si>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</si>
  <si>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</si>
  <si>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</si>
  <si>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</si>
  <si>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</si>
  <si>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</si>
  <si>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</si>
  <si>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</si>
  <si>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</si>
  <si>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</si>
  <si>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</si>
  <si>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</si>
  <si>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</si>
  <si>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</si>
  <si>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</si>
  <si>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</si>
  <si>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</si>
  <si>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</si>
  <si>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</si>
  <si>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</si>
  <si>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</si>
  <si>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</si>
  <si>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</si>
  <si>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</si>
  <si>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</si>
  <si>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</si>
  <si>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</si>
  <si>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</si>
  <si>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</si>
  <si>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</si>
  <si>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</si>
  <si>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</si>
  <si>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</si>
  <si>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</si>
  <si>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</si>
  <si>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</si>
  <si>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</si>
  <si>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</si>
  <si>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</si>
  <si>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</si>
  <si>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</si>
  <si>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</si>
  <si>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</si>
  <si>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</si>
  <si>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</si>
  <si>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</si>
  <si>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</si>
  <si>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</si>
  <si>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</si>
  <si>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</si>
  <si>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</si>
  <si>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</si>
  <si>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</si>
  <si>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</si>
  <si>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</si>
  <si>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</si>
  <si>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</si>
  <si>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</si>
  <si>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</si>
  <si>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</si>
  <si>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</si>
  <si>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</si>
  <si>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</si>
  <si>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</si>
  <si>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</si>
  <si>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</si>
  <si>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</si>
  <si>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</si>
  <si>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</si>
  <si>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</si>
  <si>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</si>
  <si>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</si>
  <si>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</si>
  <si>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</si>
  <si>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</si>
  <si>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</si>
  <si>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</si>
  <si>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</si>
  <si>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</si>
  <si>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</si>
  <si>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</si>
  <si>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</si>
  <si>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</si>
  <si>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</si>
  <si>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</si>
  <si>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</si>
  <si>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</si>
  <si>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</si>
  <si>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</si>
  <si>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</si>
  <si>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</si>
  <si>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</si>
  <si>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</si>
  <si>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</si>
  <si>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</si>
  <si>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</si>
  <si>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</si>
  <si>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</si>
  <si>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</si>
  <si>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</si>
  <si>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</si>
  <si>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</si>
  <si>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</si>
  <si>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</si>
  <si>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</si>
  <si>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</si>
  <si>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</si>
  <si>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</si>
  <si>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</si>
  <si>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</si>
  <si>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</si>
  <si>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</si>
  <si>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</si>
  <si>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</si>
  <si>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</si>
  <si>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</si>
  <si>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</si>
  <si>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</si>
  <si>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</si>
  <si>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</si>
  <si>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</si>
  <si>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</si>
  <si>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</si>
  <si>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</si>
  <si>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</si>
  <si>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</si>
  <si>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</si>
  <si>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</si>
  <si>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</si>
  <si>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</si>
  <si>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</si>
  <si>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</si>
  <si>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</si>
  <si>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</si>
  <si>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</si>
  <si>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</si>
  <si>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</si>
  <si>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</si>
  <si>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</si>
  <si>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</si>
  <si>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</si>
  <si>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</si>
  <si>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</si>
  <si>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</si>
  <si>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</si>
  <si>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</si>
  <si>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</si>
  <si>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</si>
  <si>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</si>
  <si>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</si>
  <si>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</si>
  <si>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</si>
  <si>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</si>
  <si>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</si>
  <si>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</si>
  <si>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</si>
  <si>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</si>
  <si>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</si>
  <si>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</si>
  <si>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</si>
  <si>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</si>
  <si>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</si>
  <si>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</si>
  <si>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</si>
  <si>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</si>
  <si>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</si>
  <si>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</si>
  <si>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</si>
  <si>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</si>
  <si>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</si>
  <si>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</si>
  <si>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</si>
  <si>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</si>
  <si>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</si>
  <si>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</si>
  <si>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</si>
  <si>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</si>
  <si>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</si>
  <si>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</si>
  <si>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</si>
  <si>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</si>
  <si>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</si>
  <si>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</si>
  <si>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</si>
  <si>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</si>
  <si>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</si>
  <si>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</si>
  <si>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</si>
  <si>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</si>
  <si>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</si>
  <si>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</si>
  <si>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</si>
  <si>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</si>
  <si>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</si>
  <si>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</si>
  <si>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</si>
  <si>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</si>
  <si>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</si>
  <si>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</si>
  <si>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</si>
  <si>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</si>
  <si>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</si>
  <si>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</si>
  <si>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</si>
  <si>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</si>
  <si>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</si>
  <si>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</si>
  <si>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</si>
  <si>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</si>
  <si>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</si>
  <si>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</si>
  <si>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</si>
  <si>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</si>
  <si>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</si>
  <si>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</si>
  <si>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</si>
  <si>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</si>
  <si>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</si>
  <si>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</si>
  <si>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</si>
  <si>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</si>
  <si>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</si>
  <si>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</si>
  <si>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</si>
  <si>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</si>
  <si>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</si>
  <si>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</si>
  <si>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</si>
  <si>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</si>
  <si>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</si>
  <si>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</si>
  <si>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</si>
  <si>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</si>
  <si>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</si>
  <si>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</si>
  <si>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</si>
  <si>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</si>
  <si>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</si>
  <si>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</si>
  <si>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</si>
  <si>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</si>
  <si>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</si>
  <si>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</si>
  <si>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</si>
  <si>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</si>
  <si>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</si>
  <si>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</si>
  <si>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</si>
  <si>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</si>
  <si>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</si>
  <si>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</si>
  <si>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</si>
  <si>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</si>
  <si>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</si>
  <si>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</si>
  <si>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</si>
  <si>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</si>
  <si>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</si>
  <si>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</si>
  <si>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</si>
  <si>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</si>
  <si>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</si>
  <si>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</si>
  <si>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</si>
  <si>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</si>
  <si>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</si>
  <si>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</si>
  <si>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</si>
  <si>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</si>
  <si>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</si>
  <si>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</si>
  <si>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</si>
  <si>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</si>
  <si>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</si>
  <si>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</si>
  <si>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</si>
  <si>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</si>
  <si>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</si>
  <si>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</si>
  <si>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</si>
  <si>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</si>
  <si>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</si>
  <si>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</si>
  <si>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</si>
  <si>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</si>
  <si>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</si>
  <si>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</si>
  <si>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</si>
  <si>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</si>
  <si>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</si>
  <si>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</si>
  <si>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</si>
  <si>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</si>
  <si>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</si>
  <si>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</si>
  <si>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</si>
  <si>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</si>
  <si>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</si>
  <si>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</si>
  <si>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</si>
  <si>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</si>
  <si>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</si>
  <si>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</si>
  <si>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</si>
  <si>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</si>
  <si>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</si>
  <si>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</si>
  <si>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</si>
  <si>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</si>
  <si>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</si>
  <si>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</si>
  <si>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</si>
  <si>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</si>
  <si>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</si>
  <si>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</si>
  <si>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</si>
  <si>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</si>
  <si>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</si>
  <si>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</si>
  <si>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</si>
  <si>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</si>
  <si>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</si>
  <si>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</si>
  <si>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</si>
  <si>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</si>
  <si>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</si>
  <si>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</si>
  <si>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</si>
  <si>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</si>
  <si>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</si>
  <si>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</si>
  <si>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</si>
  <si>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</si>
  <si>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</si>
  <si>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</si>
  <si>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</si>
  <si>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</si>
  <si>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</si>
  <si>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</si>
  <si>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</si>
  <si>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</si>
  <si>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</si>
  <si>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</si>
  <si>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</si>
  <si>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</si>
  <si>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</si>
  <si>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</si>
  <si>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</si>
  <si>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</si>
  <si>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</si>
  <si>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</si>
  <si>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</si>
  <si>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</si>
  <si>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</si>
  <si>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</si>
  <si>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</si>
  <si>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</si>
  <si>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</si>
  <si>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</si>
  <si>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</si>
  <si>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</si>
  <si>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</si>
  <si>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</si>
  <si>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</si>
  <si>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</si>
  <si>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</si>
  <si>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</si>
  <si>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</si>
  <si>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</si>
  <si>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</si>
  <si>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</si>
  <si>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</si>
  <si>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</si>
  <si>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</si>
  <si>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</si>
  <si>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</si>
  <si>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</si>
  <si>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</si>
  <si>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</si>
  <si>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</si>
  <si>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</si>
  <si>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</si>
  <si>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</si>
  <si>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</si>
  <si>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</si>
  <si>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</si>
  <si>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</si>
  <si>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</si>
  <si>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</si>
  <si>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</si>
  <si>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</si>
  <si>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</si>
  <si>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</si>
  <si>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</si>
  <si>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</si>
  <si>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</si>
  <si>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</si>
  <si>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</si>
  <si>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</si>
  <si>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</si>
  <si>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</si>
  <si>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</si>
  <si>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</si>
  <si>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</si>
  <si>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</si>
  <si>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</si>
  <si>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</si>
  <si>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</si>
  <si>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</si>
  <si>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</si>
  <si>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</si>
  <si>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</si>
  <si>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</si>
  <si>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</si>
  <si>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</si>
  <si>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</si>
  <si>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</si>
  <si>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</si>
  <si>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</si>
  <si>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</si>
  <si>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</si>
  <si>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</si>
  <si>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</si>
  <si>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</si>
  <si>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</si>
  <si>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</si>
  <si>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</si>
  <si>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</si>
  <si>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</si>
  <si>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</si>
  <si>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</si>
  <si>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</si>
  <si>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</si>
  <si>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</si>
  <si>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</si>
  <si>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</si>
  <si>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</si>
  <si>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</si>
  <si>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</si>
  <si>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</si>
  <si>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</si>
  <si>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</si>
  <si>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</si>
  <si>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</si>
  <si>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</si>
  <si>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</si>
  <si>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</si>
  <si>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</si>
  <si>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</si>
  <si>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</si>
  <si>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</si>
  <si>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</si>
  <si>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</si>
  <si>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</si>
  <si>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</si>
  <si>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</si>
  <si>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</si>
  <si>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</si>
  <si>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</si>
  <si>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</si>
  <si>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</si>
  <si>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</si>
  <si>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</si>
  <si>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</si>
  <si>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</si>
  <si>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</si>
  <si>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</si>
  <si>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</si>
  <si>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</si>
  <si>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</si>
  <si>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</si>
  <si>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</si>
  <si>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</si>
  <si>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</si>
  <si>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</si>
  <si>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</si>
  <si>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</si>
  <si>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</si>
  <si>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</si>
  <si>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</si>
  <si>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</si>
  <si>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</si>
  <si>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</si>
  <si>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</si>
  <si>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</si>
  <si>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</si>
  <si>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</si>
  <si>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</si>
  <si>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</si>
  <si>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</si>
  <si>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</si>
  <si>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</si>
  <si>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</si>
  <si>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</si>
  <si>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</si>
  <si>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</si>
  <si>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</si>
  <si>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</si>
  <si>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</si>
  <si>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</si>
  <si>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</si>
  <si>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</si>
  <si>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</si>
  <si>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</si>
  <si>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</si>
  <si>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</si>
  <si>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</si>
  <si>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</si>
  <si>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</si>
  <si>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</si>
  <si>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</si>
  <si>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</si>
  <si>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</si>
  <si>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</si>
  <si>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</si>
  <si>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</si>
  <si>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</si>
  <si>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</si>
  <si>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</si>
  <si>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</si>
  <si>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</si>
  <si>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</si>
  <si>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</si>
  <si>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</si>
  <si>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</si>
  <si>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</si>
  <si>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</si>
  <si>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</si>
  <si>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</si>
  <si>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</si>
  <si>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</si>
  <si>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</si>
  <si>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</si>
  <si>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</si>
  <si>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</si>
  <si>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</si>
  <si>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</si>
  <si>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</si>
  <si>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</si>
  <si>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</si>
  <si>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</si>
  <si>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</si>
  <si>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</si>
  <si>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</si>
  <si>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</si>
  <si>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</si>
  <si>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</si>
  <si>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</si>
  <si>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</si>
  <si>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</si>
  <si>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</si>
  <si>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</si>
  <si>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</si>
  <si>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</si>
  <si>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</si>
  <si>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</si>
  <si>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</si>
  <si>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</si>
  <si>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</si>
  <si>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</si>
  <si>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</si>
  <si>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</si>
  <si>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</si>
  <si>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</si>
  <si>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</si>
  <si>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</si>
  <si>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</si>
  <si>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</si>
  <si>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</si>
  <si>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</si>
  <si>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</si>
  <si>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</si>
  <si>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</si>
  <si>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</si>
  <si>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</si>
  <si>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</si>
  <si>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</si>
  <si>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</si>
  <si>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</si>
  <si>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</si>
  <si>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</si>
  <si>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</si>
  <si>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</si>
  <si>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</si>
  <si>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</si>
  <si>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</si>
  <si>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</si>
  <si>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</si>
  <si>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</si>
  <si>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</si>
  <si>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</si>
  <si>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</si>
  <si>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</si>
  <si>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</si>
  <si>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</si>
  <si>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</si>
  <si>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</si>
  <si>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</si>
  <si>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</si>
  <si>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</si>
  <si>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</si>
  <si>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</si>
  <si>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</si>
  <si>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</si>
  <si>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</si>
  <si>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</si>
  <si>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</si>
  <si>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</si>
  <si>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</si>
  <si>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</si>
  <si>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</si>
  <si>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</si>
  <si>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</si>
  <si>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</si>
  <si>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</si>
  <si>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</si>
  <si>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</si>
  <si>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</si>
  <si>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</si>
  <si>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</si>
  <si>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</si>
  <si>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</si>
  <si>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</si>
  <si>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</si>
  <si>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</si>
  <si>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</si>
  <si>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</si>
  <si>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</si>
  <si>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</si>
  <si>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</si>
  <si>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</si>
  <si>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</si>
  <si>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</si>
  <si>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</si>
  <si>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</si>
  <si>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</si>
  <si>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</si>
  <si>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</si>
  <si>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</si>
  <si>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</si>
  <si>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</si>
  <si>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</si>
  <si>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</si>
  <si>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</si>
  <si>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</si>
  <si>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</si>
  <si>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</si>
  <si>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</si>
  <si>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</si>
  <si>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</si>
  <si>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</si>
  <si>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</si>
  <si>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</si>
  <si>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</si>
  <si>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</si>
  <si>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</si>
  <si>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</si>
  <si>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</si>
  <si>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</si>
  <si>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</si>
  <si>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</si>
  <si>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</si>
  <si>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</si>
  <si>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</si>
  <si>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</si>
  <si>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</si>
  <si>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</si>
  <si>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</si>
  <si>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</si>
  <si>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</si>
  <si>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</si>
  <si>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</si>
  <si>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</si>
  <si>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</si>
  <si>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</si>
  <si>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</si>
  <si>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</si>
  <si>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</si>
  <si>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</si>
  <si>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</si>
  <si>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</si>
  <si>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</si>
  <si>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</si>
  <si>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</si>
  <si>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</si>
  <si>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</si>
  <si>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</si>
  <si>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</si>
  <si>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</si>
  <si>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</si>
  <si>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</si>
  <si>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Sales Level</t>
  </si>
  <si>
    <t>Row Labels</t>
  </si>
  <si>
    <t>Grand Total</t>
  </si>
  <si>
    <t>Sum of Sales</t>
  </si>
  <si>
    <t>Sum of Profit</t>
  </si>
  <si>
    <t>2014</t>
  </si>
  <si>
    <t>2015</t>
  </si>
  <si>
    <t>2016</t>
  </si>
  <si>
    <t>2017</t>
  </si>
  <si>
    <t>Sales By Category</t>
  </si>
  <si>
    <t>Profit By Region</t>
  </si>
  <si>
    <t>Sales Trend</t>
  </si>
  <si>
    <t>Sales Performance Dashboard</t>
  </si>
  <si>
    <t>Total Sales</t>
  </si>
  <si>
    <t>Total Profit</t>
  </si>
  <si>
    <t>Average Sales</t>
  </si>
  <si>
    <t>Total Orders</t>
  </si>
  <si>
    <t>Profit Margin</t>
  </si>
  <si>
    <t>Vlookup</t>
  </si>
  <si>
    <t>index+match</t>
  </si>
  <si>
    <t>if condition</t>
  </si>
  <si>
    <t>Dataset: Superstore Dataset</t>
  </si>
  <si>
    <t>Steps Performed:
1. Imported dataset into Excel
2. Cleaned data (removed duplicates, formatted columns)
3. Created Pivot Tables for analysis
4. Applied formulas (SUM, AVERAGE, VLOOKUP, INDEX-MATCH, IF)
5. Created charts for visualization
6. Developed interactive dashboard using slicers and timeline</t>
  </si>
  <si>
    <t>Tools Used:
Microsoft Excel, Pivot Tables, Charts, Formulas</t>
  </si>
  <si>
    <t>Conclusion:
The dashboard provides insights into sales performance by category, region and time.</t>
  </si>
  <si>
    <t>Sales Performance Analysis Report</t>
  </si>
  <si>
    <t>This project analyzes retail sales data to understand business performance using Excel tools such as Pivot Tables, Charts, and an Interactive Dashboard.The goal is to identify trends, regional performance, and category-wise sales insights.</t>
  </si>
  <si>
    <t>Key Insights:
• Technology category has the highest sales performance.
• West region generates maximum profit compared to others.
• Sales trend shows variation across years indicating demand changes.
• A small number of orders contribute significantly to total revenue.</t>
  </si>
  <si>
    <t>Dashboard Features:
• Interactive slicers for Category and Region
• KPI indicators (Total Sales, Profit, Average Sales, Orders)
• Visual charts for easy data interpretation</t>
  </si>
  <si>
    <t>Conclusion:
The dashboard provides clear insights into business performance. It helps identify strong and weak regions, improve decision-making, and supports data-driven business strategies for growth.</t>
  </si>
  <si>
    <t>TimeStamp</t>
  </si>
  <si>
    <t>Calculation Sheet</t>
  </si>
  <si>
    <t>Filtered Data (Westy Region - Technology)</t>
  </si>
  <si>
    <t>High</t>
  </si>
  <si>
    <t>Low</t>
  </si>
  <si>
    <t>Top 10 Products by Sales</t>
  </si>
  <si>
    <t>Days to Ship</t>
  </si>
  <si>
    <t>Current Year</t>
  </si>
  <si>
    <t>End of month</t>
  </si>
  <si>
    <t>Customer short name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</si>
  <si>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</si>
  <si>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</si>
  <si>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</si>
  <si>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</si>
  <si>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</si>
  <si>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</si>
  <si>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</si>
  <si>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</si>
  <si>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</si>
  <si>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</si>
  <si>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</si>
  <si>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</si>
  <si>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</si>
  <si>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</si>
  <si>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</si>
  <si>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</si>
  <si>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</si>
  <si>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</si>
  <si>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</si>
  <si>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</si>
  <si>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</si>
  <si>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</si>
  <si>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</si>
  <si>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</si>
  <si>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</si>
  <si>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Goal Seek</t>
  </si>
  <si>
    <t>Unit Price</t>
  </si>
  <si>
    <t>Revenue</t>
  </si>
  <si>
    <t>Scenario Manager</t>
  </si>
  <si>
    <t>$AD$8</t>
  </si>
  <si>
    <t>$AD$9</t>
  </si>
  <si>
    <t>$AD$10</t>
  </si>
  <si>
    <t>Low Sale</t>
  </si>
  <si>
    <t>Created by Admin on 5/10/2026</t>
  </si>
  <si>
    <t>High Sale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</si>
  <si>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</si>
  <si>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</si>
  <si>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</si>
  <si>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</si>
  <si>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</si>
  <si>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</si>
  <si>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</si>
  <si>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Regression shows a positive relationship between Quantity and Sales, but the impact is weak as R² is low.</t>
  </si>
  <si>
    <t>What If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</si>
</sst>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m/d/yy;@"/>
  </numFmts>
  <fonts count="23" x14ac:knownFonts="1">
    <font>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b/>
      <sz val="18"/>
      <color theme="1"/>
      <name val="Calibri"/>
      <family val="2"/>
      <scheme val="minor"/>
    </font>
    <font>
      <b/>
      <sz val="16"/>
      <color theme="1"/>
      <name val="Calibri"/>
      <family val="2"/>
      <scheme val="minor"/>
    </font>
    <font>
      <b/>
      <sz val="20"/>
      <color theme="0"/>
      <name val="Calibri"/>
      <family val="2"/>
      <scheme val="minor"/>
    </font>
    <font>
      <b/>
      <sz val="26"/>
      <color theme="0"/>
      <name val="Arial Rounded MT Bold"/>
      <family val="2"/>
    </font>
    <font>
      <b/>
      <sz val="28"/>
      <color theme="0"/>
      <name val="Bahnschrift SemiBold"/>
      <family val="2"/>
    </font>
    <font>
      <b/>
      <sz val="14"/>
      <color theme="1"/>
      <name val="Calibri"/>
      <family val="2"/>
      <scheme val="minor"/>
    </font>
    <font>
      <b/>
      <sz val="20"/>
      <color theme="1"/>
      <name val="Calibri"/>
      <family val="2"/>
      <scheme val="minor"/>
    </font>
    <font>
      <b/>
      <sz val="36"/>
      <color theme="1"/>
      <name val="Calibri"/>
      <family val="2"/>
      <scheme val="minor"/>
    </font>
    <font>
      <b/>
      <sz val="22"/>
      <color theme="0"/>
      <name val="Arial Rounded MT Bold"/>
      <family val="2"/>
    </font>
    <font>
      <b/>
      <sz val="20"/>
      <color theme="1"/>
      <name val="Arial Rounded MT Bold"/>
      <family val="2"/>
    </font>
    <font>
      <sz val="11"/>
      <color theme="8" tint="0.79998168889431442"/>
      <name val="Calibri"/>
      <family val="2"/>
      <scheme val="minor"/>
    </font>
    <font>
      <sz val="8"/>
      <name val="Calibri"/>
      <family val="2"/>
      <scheme val="minor"/>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36"/>
      <color theme="8" tint="0.79998168889431442"/>
      <name val="Calibri"/>
      <family val="2"/>
      <scheme val="minor"/>
    </font>
  </fonts>
  <fills count="21">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7BFC7"/>
        <bgColor indexed="64"/>
      </patternFill>
    </fill>
    <fill>
      <patternFill patternType="solid">
        <fgColor rgb="FFF0DCE2"/>
        <bgColor indexed="64"/>
      </patternFill>
    </fill>
    <fill>
      <patternFill patternType="solid">
        <fgColor theme="3" tint="-0.49998474074526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499984740745262"/>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205">
    <xf numFmtId="0" fontId="0" fillId="0" borderId="0" xfId="0"/>
    <xf numFmtId="14" fontId="0" fillId="0" borderId="0" xfId="0" applyNumberFormat="1"/>
    <xf numFmtId="0" fontId="0" fillId="0" borderId="0" xfId="0" applyBorder="1"/>
    <xf numFmtId="0" fontId="0" fillId="0" borderId="4" xfId="0" pivotButton="1" applyBorder="1"/>
    <xf numFmtId="0" fontId="0" fillId="0" borderId="5" xfId="0" applyBorder="1"/>
    <xf numFmtId="0" fontId="0" fillId="0" borderId="6" xfId="0" applyBorder="1" applyAlignment="1">
      <alignment horizontal="left"/>
    </xf>
    <xf numFmtId="0" fontId="0" fillId="0" borderId="7" xfId="0" applyNumberFormat="1" applyBorder="1"/>
    <xf numFmtId="0" fontId="0" fillId="0" borderId="8" xfId="0" applyBorder="1" applyAlignment="1">
      <alignment horizontal="left"/>
    </xf>
    <xf numFmtId="0" fontId="0" fillId="0" borderId="9" xfId="0" applyNumberFormat="1" applyBorder="1"/>
    <xf numFmtId="0" fontId="0" fillId="4" borderId="0" xfId="0" applyFill="1"/>
    <xf numFmtId="0" fontId="0" fillId="0" borderId="16" xfId="0" applyNumberFormat="1" applyBorder="1"/>
    <xf numFmtId="0" fontId="0" fillId="0" borderId="17" xfId="0" applyNumberFormat="1" applyBorder="1"/>
    <xf numFmtId="0" fontId="0" fillId="0" borderId="18" xfId="0" applyNumberFormat="1" applyBorder="1"/>
    <xf numFmtId="0" fontId="0" fillId="0" borderId="3" xfId="0" pivotButton="1"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3" xfId="0" applyBorder="1" applyAlignment="1">
      <alignment horizontal="left"/>
    </xf>
    <xf numFmtId="0" fontId="0" fillId="0" borderId="3" xfId="0" applyBorder="1"/>
    <xf numFmtId="0" fontId="2" fillId="5" borderId="11"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4" fillId="5" borderId="10" xfId="0" applyFont="1" applyFill="1" applyBorder="1" applyAlignment="1">
      <alignment horizontal="center" vertical="center"/>
    </xf>
    <xf numFmtId="0" fontId="5" fillId="5" borderId="10"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19" xfId="0" applyFont="1" applyFill="1" applyBorder="1" applyAlignment="1">
      <alignment horizontal="center" vertical="center"/>
    </xf>
    <xf numFmtId="0" fontId="8" fillId="7" borderId="11" xfId="0" applyFont="1" applyFill="1" applyBorder="1" applyAlignment="1">
      <alignment horizontal="center" vertical="center"/>
    </xf>
    <xf numFmtId="0" fontId="8" fillId="7" borderId="12" xfId="0" applyFont="1" applyFill="1" applyBorder="1" applyAlignment="1">
      <alignment horizontal="center" vertical="center"/>
    </xf>
    <xf numFmtId="0" fontId="8" fillId="7" borderId="0" xfId="0" applyFont="1" applyFill="1" applyBorder="1" applyAlignment="1">
      <alignment horizontal="center" vertical="center"/>
    </xf>
    <xf numFmtId="0" fontId="8" fillId="7" borderId="13" xfId="0" applyFont="1" applyFill="1" applyBorder="1" applyAlignment="1">
      <alignment horizontal="center" vertical="center"/>
    </xf>
    <xf numFmtId="0" fontId="0" fillId="4" borderId="12" xfId="0" applyFill="1" applyBorder="1"/>
    <xf numFmtId="0" fontId="0" fillId="4" borderId="0" xfId="0" applyFill="1" applyBorder="1"/>
    <xf numFmtId="0" fontId="0" fillId="4" borderId="13" xfId="0" applyFill="1" applyBorder="1"/>
    <xf numFmtId="0" fontId="0" fillId="6" borderId="12" xfId="0" applyFill="1" applyBorder="1"/>
    <xf numFmtId="0" fontId="0" fillId="6" borderId="0" xfId="0" applyFill="1" applyBorder="1"/>
    <xf numFmtId="0" fontId="1" fillId="6" borderId="0" xfId="0" applyFont="1" applyFill="1" applyBorder="1"/>
    <xf numFmtId="0" fontId="1" fillId="6" borderId="13" xfId="0" applyFont="1" applyFill="1" applyBorder="1"/>
    <xf numFmtId="0" fontId="0" fillId="4" borderId="14" xfId="0" applyFill="1" applyBorder="1"/>
    <xf numFmtId="0" fontId="0" fillId="4" borderId="20" xfId="0" applyFill="1" applyBorder="1"/>
    <xf numFmtId="0" fontId="0" fillId="4" borderId="15" xfId="0" applyFill="1" applyBorder="1"/>
    <xf numFmtId="0" fontId="0" fillId="0" borderId="0" xfId="0" applyFill="1" applyBorder="1"/>
    <xf numFmtId="0" fontId="0" fillId="0" borderId="0" xfId="0" applyFill="1"/>
    <xf numFmtId="0" fontId="0" fillId="8" borderId="21" xfId="0" applyFill="1" applyBorder="1" applyAlignment="1">
      <alignment horizontal="center"/>
    </xf>
    <xf numFmtId="0" fontId="0" fillId="8" borderId="19" xfId="0" applyFill="1" applyBorder="1" applyAlignment="1">
      <alignment horizontal="center"/>
    </xf>
    <xf numFmtId="0" fontId="11" fillId="9" borderId="10" xfId="0" applyFont="1" applyFill="1" applyBorder="1" applyAlignment="1">
      <alignment horizontal="center" vertical="center"/>
    </xf>
    <xf numFmtId="0" fontId="11" fillId="9" borderId="19" xfId="0" applyFont="1" applyFill="1" applyBorder="1" applyAlignment="1">
      <alignment horizontal="center" vertical="center"/>
    </xf>
    <xf numFmtId="0" fontId="11" fillId="9" borderId="11" xfId="0" applyFont="1" applyFill="1" applyBorder="1" applyAlignment="1">
      <alignment horizontal="center" vertical="center"/>
    </xf>
    <xf numFmtId="0" fontId="11" fillId="9" borderId="12" xfId="0" applyFont="1" applyFill="1" applyBorder="1" applyAlignment="1">
      <alignment horizontal="center" vertical="center"/>
    </xf>
    <xf numFmtId="0" fontId="11" fillId="9" borderId="0" xfId="0" applyFont="1" applyFill="1" applyBorder="1" applyAlignment="1">
      <alignment horizontal="center" vertical="center"/>
    </xf>
    <xf numFmtId="0" fontId="11" fillId="9" borderId="13" xfId="0" applyFont="1" applyFill="1" applyBorder="1" applyAlignment="1">
      <alignment horizontal="center" vertical="center"/>
    </xf>
    <xf numFmtId="0" fontId="11" fillId="9" borderId="14" xfId="0" applyFont="1" applyFill="1" applyBorder="1" applyAlignment="1">
      <alignment horizontal="center" vertical="center"/>
    </xf>
    <xf numFmtId="0" fontId="11" fillId="9" borderId="20" xfId="0" applyFont="1" applyFill="1" applyBorder="1" applyAlignment="1">
      <alignment horizontal="center" vertical="center"/>
    </xf>
    <xf numFmtId="0" fontId="11" fillId="9" borderId="15" xfId="0" applyFont="1" applyFill="1" applyBorder="1" applyAlignment="1">
      <alignment horizontal="center" vertical="center"/>
    </xf>
    <xf numFmtId="0" fontId="5" fillId="10" borderId="10" xfId="0" applyFont="1" applyFill="1" applyBorder="1" applyAlignment="1">
      <alignment horizontal="center" vertical="center" wrapText="1"/>
    </xf>
    <xf numFmtId="0" fontId="5" fillId="10" borderId="19" xfId="0" applyFont="1" applyFill="1" applyBorder="1" applyAlignment="1">
      <alignment horizontal="center" vertical="center" wrapText="1"/>
    </xf>
    <xf numFmtId="0" fontId="5" fillId="10" borderId="11"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5" fillId="10" borderId="0"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14" xfId="0" applyFont="1" applyFill="1" applyBorder="1" applyAlignment="1">
      <alignment horizontal="center" vertical="center" wrapText="1"/>
    </xf>
    <xf numFmtId="0" fontId="5" fillId="10" borderId="20"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9"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0"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15" xfId="0" applyFont="1" applyFill="1" applyBorder="1" applyAlignment="1">
      <alignment horizontal="center" vertical="center"/>
    </xf>
    <xf numFmtId="0" fontId="9" fillId="11" borderId="10" xfId="0" applyFont="1" applyFill="1" applyBorder="1" applyAlignment="1">
      <alignment horizontal="center" vertical="center" wrapText="1"/>
    </xf>
    <xf numFmtId="0" fontId="9" fillId="11" borderId="19"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9" fillId="11" borderId="14" xfId="0" applyFont="1" applyFill="1" applyBorder="1" applyAlignment="1">
      <alignment horizontal="center" vertical="center" wrapText="1"/>
    </xf>
    <xf numFmtId="0" fontId="9" fillId="11" borderId="20" xfId="0" applyFont="1" applyFill="1" applyBorder="1" applyAlignment="1">
      <alignment horizontal="center" vertical="center" wrapText="1"/>
    </xf>
    <xf numFmtId="0" fontId="9" fillId="11" borderId="15" xfId="0" applyFont="1" applyFill="1" applyBorder="1" applyAlignment="1">
      <alignment horizontal="center" vertical="center" wrapText="1"/>
    </xf>
    <xf numFmtId="0" fontId="11" fillId="4" borderId="0" xfId="0" applyFont="1" applyFill="1" applyBorder="1" applyAlignment="1">
      <alignment vertical="center"/>
    </xf>
    <xf numFmtId="0" fontId="5" fillId="4" borderId="0" xfId="0" applyFont="1" applyFill="1" applyBorder="1" applyAlignment="1">
      <alignment vertical="center" wrapText="1"/>
    </xf>
    <xf numFmtId="0" fontId="9" fillId="4" borderId="0" xfId="0" applyFont="1" applyFill="1" applyBorder="1" applyAlignment="1">
      <alignment vertical="center" wrapText="1"/>
    </xf>
    <xf numFmtId="0" fontId="9" fillId="4" borderId="0" xfId="0" applyFont="1" applyFill="1" applyBorder="1" applyAlignment="1">
      <alignment vertical="center"/>
    </xf>
    <xf numFmtId="0" fontId="4" fillId="6" borderId="19"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4" xfId="0" applyFont="1" applyFill="1" applyBorder="1" applyAlignment="1">
      <alignment horizontal="center" vertical="center"/>
    </xf>
    <xf numFmtId="0" fontId="4" fillId="6" borderId="20" xfId="0" applyFont="1" applyFill="1" applyBorder="1" applyAlignment="1">
      <alignment horizontal="center" vertical="center"/>
    </xf>
    <xf numFmtId="0" fontId="4" fillId="6" borderId="15" xfId="0" applyFont="1" applyFill="1" applyBorder="1" applyAlignment="1">
      <alignment horizontal="center" vertical="center"/>
    </xf>
    <xf numFmtId="0" fontId="12" fillId="6" borderId="10" xfId="0" applyFont="1" applyFill="1" applyBorder="1" applyAlignment="1">
      <alignment horizontal="center" vertical="center"/>
    </xf>
    <xf numFmtId="0" fontId="9" fillId="3" borderId="10" xfId="0" applyFont="1" applyFill="1" applyBorder="1" applyAlignment="1">
      <alignment horizontal="center" vertical="center" wrapText="1"/>
    </xf>
    <xf numFmtId="0" fontId="9" fillId="3" borderId="19"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20" xfId="0" applyFont="1" applyFill="1" applyBorder="1" applyAlignment="1">
      <alignment horizontal="center" vertical="center"/>
    </xf>
    <xf numFmtId="0" fontId="9" fillId="3" borderId="15" xfId="0" applyFont="1" applyFill="1" applyBorder="1" applyAlignment="1">
      <alignment horizontal="center" vertical="center"/>
    </xf>
    <xf numFmtId="0" fontId="9" fillId="9" borderId="19" xfId="0" applyFont="1" applyFill="1" applyBorder="1" applyAlignment="1">
      <alignment horizontal="center" vertical="center"/>
    </xf>
    <xf numFmtId="0" fontId="9" fillId="9" borderId="11" xfId="0" applyFont="1" applyFill="1" applyBorder="1" applyAlignment="1">
      <alignment horizontal="center" vertical="center"/>
    </xf>
    <xf numFmtId="0" fontId="9" fillId="9" borderId="12" xfId="0" applyFont="1" applyFill="1" applyBorder="1" applyAlignment="1">
      <alignment horizontal="center" vertical="center"/>
    </xf>
    <xf numFmtId="0" fontId="9" fillId="9" borderId="0" xfId="0" applyFont="1" applyFill="1" applyBorder="1" applyAlignment="1">
      <alignment horizontal="center" vertical="center"/>
    </xf>
    <xf numFmtId="0" fontId="9" fillId="9" borderId="13" xfId="0" applyFont="1" applyFill="1" applyBorder="1" applyAlignment="1">
      <alignment horizontal="center" vertical="center"/>
    </xf>
    <xf numFmtId="0" fontId="9" fillId="9" borderId="14" xfId="0" applyFont="1" applyFill="1" applyBorder="1" applyAlignment="1">
      <alignment horizontal="center" vertical="center"/>
    </xf>
    <xf numFmtId="0" fontId="9" fillId="9" borderId="20" xfId="0" applyFont="1" applyFill="1" applyBorder="1" applyAlignment="1">
      <alignment horizontal="center" vertical="center"/>
    </xf>
    <xf numFmtId="0" fontId="9" fillId="9" borderId="15" xfId="0" applyFont="1" applyFill="1" applyBorder="1" applyAlignment="1">
      <alignment horizontal="center" vertical="center"/>
    </xf>
    <xf numFmtId="0" fontId="9" fillId="9" borderId="10" xfId="0" applyFont="1" applyFill="1" applyBorder="1" applyAlignment="1">
      <alignment horizontal="center" vertical="center" wrapText="1"/>
    </xf>
    <xf numFmtId="22" fontId="0" fillId="0" borderId="0" xfId="0" applyNumberFormat="1"/>
    <xf numFmtId="0" fontId="0" fillId="8" borderId="2" xfId="0" applyFill="1" applyBorder="1" applyAlignment="1">
      <alignment horizontal="center" wrapText="1"/>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15" xfId="0" applyFont="1" applyFill="1" applyBorder="1" applyAlignment="1">
      <alignment horizontal="center" vertical="center"/>
    </xf>
    <xf numFmtId="0" fontId="9" fillId="13" borderId="10" xfId="0" applyFont="1" applyFill="1" applyBorder="1" applyAlignment="1">
      <alignment horizontal="center" vertical="center"/>
    </xf>
    <xf numFmtId="0" fontId="9" fillId="13" borderId="11" xfId="0" applyFont="1" applyFill="1" applyBorder="1" applyAlignment="1">
      <alignment horizontal="center" vertical="center"/>
    </xf>
    <xf numFmtId="0" fontId="9" fillId="13" borderId="14" xfId="0" applyFont="1" applyFill="1" applyBorder="1" applyAlignment="1">
      <alignment horizontal="center" vertical="center"/>
    </xf>
    <xf numFmtId="0" fontId="9" fillId="13" borderId="15" xfId="0" applyFont="1" applyFill="1" applyBorder="1" applyAlignment="1">
      <alignment horizontal="center" vertical="center"/>
    </xf>
    <xf numFmtId="0" fontId="7" fillId="14" borderId="2" xfId="0" applyFont="1" applyFill="1" applyBorder="1" applyAlignment="1">
      <alignment horizontal="center" vertical="center"/>
    </xf>
    <xf numFmtId="0" fontId="13" fillId="15" borderId="10" xfId="0" applyFont="1" applyFill="1" applyBorder="1" applyAlignment="1">
      <alignment horizontal="center" vertical="center"/>
    </xf>
    <xf numFmtId="0" fontId="13" fillId="15" borderId="19" xfId="0" applyFont="1" applyFill="1" applyBorder="1" applyAlignment="1">
      <alignment horizontal="center" vertical="center"/>
    </xf>
    <xf numFmtId="0" fontId="13" fillId="15" borderId="11" xfId="0" applyFont="1" applyFill="1" applyBorder="1" applyAlignment="1">
      <alignment horizontal="center" vertical="center"/>
    </xf>
    <xf numFmtId="0" fontId="13" fillId="15" borderId="12" xfId="0" applyFont="1" applyFill="1" applyBorder="1" applyAlignment="1">
      <alignment horizontal="center" vertical="center"/>
    </xf>
    <xf numFmtId="0" fontId="13" fillId="15" borderId="0" xfId="0" applyFont="1" applyFill="1" applyBorder="1" applyAlignment="1">
      <alignment horizontal="center" vertical="center"/>
    </xf>
    <xf numFmtId="0" fontId="13" fillId="15" borderId="13" xfId="0" applyFont="1" applyFill="1" applyBorder="1" applyAlignment="1">
      <alignment horizontal="center" vertical="center"/>
    </xf>
    <xf numFmtId="0" fontId="13" fillId="15" borderId="14" xfId="0" applyFont="1" applyFill="1" applyBorder="1" applyAlignment="1">
      <alignment horizontal="center" vertical="center"/>
    </xf>
    <xf numFmtId="0" fontId="13" fillId="15" borderId="20" xfId="0" applyFont="1" applyFill="1" applyBorder="1" applyAlignment="1">
      <alignment horizontal="center" vertical="center"/>
    </xf>
    <xf numFmtId="0" fontId="13" fillId="15" borderId="15" xfId="0" applyFont="1" applyFill="1" applyBorder="1" applyAlignment="1">
      <alignment horizontal="center" vertical="center"/>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4" xfId="0" applyFont="1" applyFill="1" applyBorder="1" applyAlignment="1">
      <alignment horizontal="center" vertical="center"/>
    </xf>
    <xf numFmtId="0" fontId="6" fillId="7" borderId="15" xfId="0" applyFont="1" applyFill="1" applyBorder="1" applyAlignment="1">
      <alignment horizontal="center" vertical="center"/>
    </xf>
    <xf numFmtId="0" fontId="0" fillId="2" borderId="2" xfId="0" applyFont="1" applyFill="1" applyBorder="1"/>
    <xf numFmtId="14" fontId="0" fillId="2" borderId="2" xfId="0" applyNumberFormat="1" applyFont="1" applyFill="1" applyBorder="1"/>
    <xf numFmtId="0" fontId="0" fillId="0" borderId="2" xfId="0" applyFont="1" applyBorder="1"/>
    <xf numFmtId="14" fontId="0" fillId="0" borderId="2" xfId="0" applyNumberFormat="1" applyFont="1" applyBorder="1"/>
    <xf numFmtId="0" fontId="0" fillId="2" borderId="4" xfId="0" applyFont="1" applyFill="1" applyBorder="1"/>
    <xf numFmtId="0" fontId="0" fillId="2" borderId="22" xfId="0" applyFont="1" applyFill="1" applyBorder="1"/>
    <xf numFmtId="14" fontId="0" fillId="2" borderId="22" xfId="0" applyNumberFormat="1" applyFont="1" applyFill="1" applyBorder="1"/>
    <xf numFmtId="22" fontId="0" fillId="2" borderId="5" xfId="0" applyNumberFormat="1" applyFont="1" applyFill="1" applyBorder="1"/>
    <xf numFmtId="0" fontId="0" fillId="0" borderId="6" xfId="0" applyFont="1" applyBorder="1"/>
    <xf numFmtId="22" fontId="0" fillId="0" borderId="7" xfId="0" applyNumberFormat="1" applyFont="1" applyBorder="1"/>
    <xf numFmtId="0" fontId="0" fillId="2" borderId="6" xfId="0" applyFont="1" applyFill="1" applyBorder="1"/>
    <xf numFmtId="22" fontId="0" fillId="2" borderId="7" xfId="0" applyNumberFormat="1" applyFont="1" applyFill="1" applyBorder="1"/>
    <xf numFmtId="0" fontId="0" fillId="0" borderId="8" xfId="0" applyFont="1" applyBorder="1"/>
    <xf numFmtId="0" fontId="0" fillId="0" borderId="23" xfId="0" applyFont="1" applyBorder="1"/>
    <xf numFmtId="14" fontId="0" fillId="0" borderId="23" xfId="0" applyNumberFormat="1" applyFont="1" applyBorder="1"/>
    <xf numFmtId="0" fontId="0" fillId="2" borderId="23" xfId="0" applyFont="1" applyFill="1" applyBorder="1"/>
    <xf numFmtId="22" fontId="0" fillId="0" borderId="9" xfId="0" applyNumberFormat="1" applyFont="1" applyBorder="1"/>
    <xf numFmtId="0" fontId="0" fillId="8" borderId="10" xfId="0" applyFill="1" applyBorder="1"/>
    <xf numFmtId="0" fontId="7" fillId="14" borderId="22" xfId="0" applyFont="1" applyFill="1" applyBorder="1" applyAlignment="1">
      <alignment horizontal="center" vertical="center"/>
    </xf>
    <xf numFmtId="0" fontId="0" fillId="8" borderId="19" xfId="0" applyFill="1" applyBorder="1"/>
    <xf numFmtId="0" fontId="0" fillId="8" borderId="12" xfId="0" applyFill="1" applyBorder="1"/>
    <xf numFmtId="0" fontId="0" fillId="8" borderId="0" xfId="0" applyFill="1" applyBorder="1"/>
    <xf numFmtId="0" fontId="0" fillId="8" borderId="14" xfId="0" applyFill="1" applyBorder="1"/>
    <xf numFmtId="0" fontId="0" fillId="8" borderId="20" xfId="0" applyFill="1" applyBorder="1"/>
    <xf numFmtId="170" fontId="0" fillId="0" borderId="0" xfId="0" applyNumberFormat="1"/>
    <xf numFmtId="0" fontId="0" fillId="0" borderId="0" xfId="0" applyFill="1" applyBorder="1" applyAlignment="1"/>
    <xf numFmtId="0" fontId="0" fillId="0" borderId="20" xfId="0" applyFill="1" applyBorder="1" applyAlignment="1"/>
    <xf numFmtId="0" fontId="0" fillId="0" borderId="24" xfId="0" applyFill="1" applyBorder="1" applyAlignment="1"/>
    <xf numFmtId="0" fontId="16" fillId="0" borderId="25" xfId="0" applyFont="1" applyFill="1" applyBorder="1" applyAlignment="1">
      <alignment horizontal="center"/>
    </xf>
    <xf numFmtId="0" fontId="16" fillId="0" borderId="25" xfId="0" applyFont="1" applyFill="1" applyBorder="1" applyAlignment="1">
      <alignment horizontal="centerContinuous"/>
    </xf>
    <xf numFmtId="0" fontId="14" fillId="8" borderId="0" xfId="0" applyFont="1" applyFill="1" applyBorder="1"/>
    <xf numFmtId="0" fontId="14" fillId="8" borderId="20" xfId="0" applyFont="1" applyFill="1" applyBorder="1"/>
    <xf numFmtId="0" fontId="10" fillId="16" borderId="10" xfId="0" applyFont="1" applyFill="1" applyBorder="1" applyAlignment="1">
      <alignment horizontal="center" vertical="center"/>
    </xf>
    <xf numFmtId="0" fontId="10" fillId="16" borderId="19" xfId="0" applyFont="1" applyFill="1" applyBorder="1" applyAlignment="1">
      <alignment horizontal="center" vertical="center"/>
    </xf>
    <xf numFmtId="0" fontId="10" fillId="16" borderId="11" xfId="0" applyFont="1" applyFill="1" applyBorder="1" applyAlignment="1">
      <alignment horizontal="center" vertical="center"/>
    </xf>
    <xf numFmtId="0" fontId="10" fillId="16" borderId="14" xfId="0" applyFont="1" applyFill="1" applyBorder="1" applyAlignment="1">
      <alignment horizontal="center" vertical="center"/>
    </xf>
    <xf numFmtId="0" fontId="10" fillId="16" borderId="20" xfId="0" applyFont="1" applyFill="1" applyBorder="1" applyAlignment="1">
      <alignment horizontal="center" vertical="center"/>
    </xf>
    <xf numFmtId="0" fontId="10" fillId="16" borderId="15" xfId="0" applyFont="1" applyFill="1" applyBorder="1" applyAlignment="1">
      <alignment horizontal="center" vertical="center"/>
    </xf>
    <xf numFmtId="0" fontId="0" fillId="8" borderId="4" xfId="0" applyFill="1" applyBorder="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0" fontId="17" fillId="17" borderId="1" xfId="0" applyFont="1" applyFill="1" applyBorder="1" applyAlignment="1">
      <alignment horizontal="left"/>
    </xf>
    <xf numFmtId="0" fontId="17" fillId="17" borderId="19" xfId="0" applyFont="1" applyFill="1" applyBorder="1" applyAlignment="1">
      <alignment horizontal="left"/>
    </xf>
    <xf numFmtId="0" fontId="18" fillId="18" borderId="0" xfId="0" applyFont="1" applyFill="1" applyBorder="1" applyAlignment="1">
      <alignment horizontal="left"/>
    </xf>
    <xf numFmtId="0" fontId="19" fillId="18" borderId="24" xfId="0" applyFont="1" applyFill="1" applyBorder="1" applyAlignment="1">
      <alignment horizontal="left"/>
    </xf>
    <xf numFmtId="0" fontId="18" fillId="18" borderId="20" xfId="0" applyFont="1" applyFill="1" applyBorder="1" applyAlignment="1">
      <alignment horizontal="left"/>
    </xf>
    <xf numFmtId="0" fontId="20" fillId="17" borderId="19" xfId="0" applyFont="1" applyFill="1" applyBorder="1" applyAlignment="1">
      <alignment horizontal="right"/>
    </xf>
    <xf numFmtId="0" fontId="20" fillId="17" borderId="1" xfId="0" applyFont="1" applyFill="1" applyBorder="1" applyAlignment="1">
      <alignment horizontal="right"/>
    </xf>
    <xf numFmtId="0" fontId="0" fillId="19" borderId="0" xfId="0" applyFill="1" applyBorder="1" applyAlignment="1"/>
    <xf numFmtId="0" fontId="21" fillId="0" borderId="0" xfId="0" applyFont="1" applyFill="1" applyBorder="1" applyAlignment="1">
      <alignment vertical="top" wrapText="1"/>
    </xf>
    <xf numFmtId="0" fontId="4" fillId="16" borderId="10" xfId="0" applyFont="1" applyFill="1" applyBorder="1" applyAlignment="1">
      <alignment horizontal="center" vertical="center"/>
    </xf>
    <xf numFmtId="0" fontId="4" fillId="16" borderId="19" xfId="0" applyFont="1" applyFill="1" applyBorder="1" applyAlignment="1">
      <alignment horizontal="center" vertical="center"/>
    </xf>
    <xf numFmtId="0" fontId="4" fillId="16" borderId="11" xfId="0" applyFont="1" applyFill="1" applyBorder="1" applyAlignment="1">
      <alignment horizontal="center" vertical="center"/>
    </xf>
    <xf numFmtId="0" fontId="4" fillId="16" borderId="14" xfId="0" applyFont="1" applyFill="1" applyBorder="1" applyAlignment="1">
      <alignment horizontal="center" vertical="center"/>
    </xf>
    <xf numFmtId="0" fontId="4" fillId="16" borderId="20" xfId="0" applyFont="1" applyFill="1" applyBorder="1" applyAlignment="1">
      <alignment horizontal="center" vertical="center"/>
    </xf>
    <xf numFmtId="0" fontId="4" fillId="16" borderId="15" xfId="0" applyFont="1" applyFill="1" applyBorder="1" applyAlignment="1">
      <alignment horizontal="center" vertical="center"/>
    </xf>
    <xf numFmtId="0" fontId="0" fillId="8" borderId="11" xfId="0" applyFill="1" applyBorder="1"/>
    <xf numFmtId="0" fontId="0" fillId="8" borderId="13" xfId="0" applyFill="1" applyBorder="1"/>
    <xf numFmtId="0" fontId="0" fillId="8" borderId="15" xfId="0" applyFill="1" applyBorder="1"/>
    <xf numFmtId="0" fontId="22" fillId="20" borderId="19" xfId="0" applyFont="1" applyFill="1" applyBorder="1" applyAlignment="1">
      <alignment horizontal="center" vertical="center"/>
    </xf>
    <xf numFmtId="0" fontId="22" fillId="20" borderId="0" xfId="0" applyFont="1" applyFill="1" applyBorder="1" applyAlignment="1">
      <alignment horizontal="center" vertical="center"/>
    </xf>
    <xf numFmtId="0" fontId="7" fillId="14" borderId="4" xfId="0" applyFont="1" applyFill="1" applyBorder="1" applyAlignment="1">
      <alignment horizontal="center" vertical="center"/>
    </xf>
    <xf numFmtId="0" fontId="7" fillId="14" borderId="5" xfId="0" applyFont="1" applyFill="1" applyBorder="1" applyAlignment="1">
      <alignment horizontal="center" vertical="center"/>
    </xf>
    <xf numFmtId="0" fontId="7" fillId="14" borderId="6" xfId="0" applyFont="1" applyFill="1" applyBorder="1" applyAlignment="1">
      <alignment horizontal="center" vertical="center"/>
    </xf>
    <xf numFmtId="0" fontId="7" fillId="14" borderId="7" xfId="0" applyFont="1" applyFill="1" applyBorder="1" applyAlignment="1">
      <alignment horizontal="center" vertical="center"/>
    </xf>
    <xf numFmtId="0" fontId="0" fillId="8" borderId="26" xfId="0" applyFill="1" applyBorder="1" applyAlignment="1">
      <alignment horizontal="center"/>
    </xf>
    <xf numFmtId="0" fontId="0" fillId="8" borderId="7" xfId="0" applyFill="1" applyBorder="1" applyAlignment="1">
      <alignment horizontal="center" wrapText="1"/>
    </xf>
  </cellXfs>
  <cellStyles count="1">
    <cellStyle name="Normal" xfId="0" builtinId="0"/>
  </cellStyles>
  <dxfs count="48">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m/d/yy;@"/>
    </dxf>
    <dxf>
      <numFmt numFmtId="170" formatCode="m/d/yy;@"/>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7" formatCode="m/d/yyyy\ h:m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9" formatCode="m/d/yyyy"/>
    </dxf>
    <dxf>
      <numFmt numFmtId="19" formatCode="m/d/yyyy"/>
    </dxf>
  </dxfs>
  <tableStyles count="0" defaultTableStyle="TableStyleMedium2" defaultPivotStyle="PivotStyleLight16"/>
  <colors>
    <mruColors>
      <color rgb="FFF0DCE2"/>
      <color rgb="FFF7B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[Practical_exam.xlsx]PivotTable!PivotTable2</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PivotTable!$C$6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PivotTable!$B$7:$B$8</c:f>
              <c:strCache>
                <c:ptCount val="1"/>
                <c:pt idx="0">
                  <c:v>Technology</c:v>
                </c:pt>
              </c:strCache>
            </c:strRef>
          </c:cat>
          <c:val>
            <c:numRef>
              <c:f>PivotTable!$C$7:$C$8</c:f>
              <c:numCache>
                <c:formatCode>General</c:formatCode>
                <c:ptCount val="1"/>
                <c:pt idx="0">
                  <c:v>9345.5580000000009</c:v>
                </c:pt>
              </c:numCache>
            </c:numRef>
          </c:val>
          <c:extLst>
            <c:ext xmlns:c16="http://schemas.microsoft.com/office/drawing/2014/chart" uri="{C3380CC4-5D6E-409C-BE32-E72D297353CC}">
              <c16:uniqueId val="{00000000-9FD5-47DE-A183-477B72BC1051}"/>
            </c:ext>
          </c:extLst>
        </c:ser>
        <c:dLbls>
          <c:showLegendKey val="0"/>
          <c:showVal val="0"/>
          <c:showCatName val="0"/>
          <c:showSerName val="0"/>
          <c:showPercent val="0"/>
          <c:showBubbleSize val="0"/>
        </c:dLbls>
        <c:gapWidth val="150"/>
        <c:shape val="box"/>
        <c:axId val="195871456"/>
        <c:axId val="253096928"/>
        <c:axId val="0"/>
      </c:bar3DChart>
      <c:catAx>
        <c:axId val="195871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96928"/>
        <c:crosses val="autoZero"/>
        <c:auto val="1"/>
        <c:lblAlgn val="ctr"/>
        <c:lblOffset val="100"/>
        <c:noMultiLvlLbl val="0"/>
      </c:catAx>
      <c:valAx>
        <c:axId val="2530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[Practical_exam.xlsx]PivotTable!PivotTable3</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spPr>
          <a:solidFill>
            <a:schemeClr val="accent2"/>
          </a:solidFill>
          <a:ln>
            <a:noFill/>
          </a:ln>
          <a:effectLst>
            <a:outerShdw blurRad="317500" algn="ctr" rotWithShape="0">
              <a:prstClr val="black">
                <a:alpha val="25000"/>
              </a:prstClr>
            </a:outerShdw>
          </a:effectLst>
        </c:spPr>
      </c:pivotFmt>
      <c:pivotFmt>
        <c:idx val="19"/>
      </c:pivotFmt>
      <c:pivotFmt>
        <c:idx val="20"/>
      </c:pivotFmt>
    </c:pivotFmts>
    <c:plotArea>
      <c:layout/>
      <c:doughnutChart>
        <c:varyColors val="1"/>
        <c:ser>
          <c:idx val="0"/>
          <c:order val="0"/>
          <c:tx>
            <c:strRef>
              <c:f>PivotTable!$F$6</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7F-46F5-B93D-31E542990608}"/>
              </c:ext>
            </c:extLst>
          </c:dPt>
          <c:dPt>
            <c:idx val="1"/>
            <c:bubble3D val="0"/>
            <c:spPr>
              <a:solidFill>
                <a:schemeClr val="accent2">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7F-46F5-B93D-31E542990608}"/>
              </c:ext>
            </c:extLst>
          </c:dPt>
          <c:dPt>
            <c:idx val="2"/>
            <c:bubble3D val="0"/>
            <c:spPr>
              <a:solidFill>
                <a:schemeClr val="accent2">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7F-46F5-B93D-31E542990608}"/>
              </c:ext>
            </c:extLst>
          </c:dPt>
          <c:dPt>
            <c:idx val="3"/>
            <c:bubble3D val="0"/>
            <c:spPr>
              <a:solidFill>
                <a:schemeClr val="accent2">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B7F-46F5-B93D-31E5429906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PivotTable!$E$7:$E$8</c:f>
              <c:strCache>
                <c:ptCount val="1"/>
                <c:pt idx="0">
                  <c:v>East</c:v>
                </c:pt>
              </c:strCache>
            </c:strRef>
          </c:cat>
          <c:val>
            <c:numRef>
              <c:f>PivotTable!$F$7:$F$8</c:f>
              <c:numCache>
                <c:formatCode>General</c:formatCode>
                <c:ptCount val="1"/>
                <c:pt idx="0">
                  <c:v>959.45640000000003</c:v>
                </c:pt>
              </c:numCache>
            </c:numRef>
          </c:val>
          <c:extLst>
            <c:ext xmlns:c16="http://schemas.microsoft.com/office/drawing/2014/chart" uri="{C3380CC4-5D6E-409C-BE32-E72D297353CC}">
              <c16:uniqueId val="{00000008-2B7F-46F5-B93D-31E54299060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[Practical_exam.xlsx]PivotTable!PivotTable4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PivotTable!$I$6</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PivotTable!$H$7:$H$11</c:f>
              <c:strCache>
                <c:ptCount val="4"/>
                <c:pt idx="0">
                  <c:v>2014</c:v>
                </c:pt>
                <c:pt idx="1">
                  <c:v>2015</c:v>
                </c:pt>
                <c:pt idx="2">
                  <c:v>2016</c:v>
                </c:pt>
                <c:pt idx="3">
                  <c:v>2017</c:v>
                </c:pt>
              </c:strCache>
            </c:strRef>
          </c:cat>
          <c:val>
            <c:numRef>
              <c:f>PivotTable!$I$7:$I$11</c:f>
              <c:numCache>
                <c:formatCode>General</c:formatCode>
                <c:ptCount val="4"/>
                <c:pt idx="0">
                  <c:v>4929.8180000000002</c:v>
                </c:pt>
                <c:pt idx="1">
                  <c:v>2429.0380000000005</c:v>
                </c:pt>
                <c:pt idx="2">
                  <c:v>1866.3819999999998</c:v>
                </c:pt>
                <c:pt idx="3">
                  <c:v>120.32</c:v>
                </c:pt>
              </c:numCache>
            </c:numRef>
          </c:val>
          <c:smooth val="0"/>
          <c:extLst>
            <c:ext xmlns:c16="http://schemas.microsoft.com/office/drawing/2014/chart" uri="{C3380CC4-5D6E-409C-BE32-E72D297353CC}">
              <c16:uniqueId val="{00000000-B3CC-4550-8B2D-497CFE4C6E2D}"/>
            </c:ext>
          </c:extLst>
        </c:ser>
        <c:dLbls>
          <c:showLegendKey val="0"/>
          <c:showVal val="0"/>
          <c:showCatName val="0"/>
          <c:showSerName val="0"/>
          <c:showPercent val="0"/>
          <c:showBubbleSize val="0"/>
        </c:dLbls>
        <c:marker val="1"/>
        <c:smooth val="0"/>
        <c:axId val="399446992"/>
        <c:axId val="194963776"/>
      </c:lineChart>
      <c:catAx>
        <c:axId val="399446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3776"/>
        <c:crosses val="autoZero"/>
        <c:auto val="1"/>
        <c:lblAlgn val="ctr"/>
        <c:lblOffset val="100"/>
        <c:noMultiLvlLbl val="0"/>
      </c:catAx>
      <c:valAx>
        <c:axId val="19496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4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7</xdr:col>
      <xdr:colOff>546100</xdr:colOff>
      <xdr:row>33</xdr:row>
      <xdr:rowOff>165100</xdr:rowOff>
    </xdr:to>
    <xdr:graphicFrame macro="">
      <xdr:nvGraphicFramePr>
        <xdr:cNvPr id="5" name="Chart 4">
          <a:extLst>
            <a:ext uri="{FF2B5EF4-FFF2-40B4-BE49-F238E27FC236}">
              <a16:creationId xmlns:a16="http://schemas.microsoft.com/office/drawing/2014/main" id="{DEFA1218-1A30-4438-966E-1C756830A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19</xdr:row>
      <xdr:rowOff>0</xdr:rowOff>
    </xdr:from>
    <xdr:to>
      <xdr:col>14</xdr:col>
      <xdr:colOff>515636</xdr:colOff>
      <xdr:row>33</xdr:row>
      <xdr:rowOff>165100</xdr:rowOff>
    </xdr:to>
    <xdr:graphicFrame macro="">
      <xdr:nvGraphicFramePr>
        <xdr:cNvPr id="6" name="Chart 5">
          <a:extLst>
            <a:ext uri="{FF2B5EF4-FFF2-40B4-BE49-F238E27FC236}">
              <a16:creationId xmlns:a16="http://schemas.microsoft.com/office/drawing/2014/main" id="{1288224A-D4AE-42C2-8735-3A6DC0086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19</xdr:row>
      <xdr:rowOff>0</xdr:rowOff>
    </xdr:from>
    <xdr:to>
      <xdr:col>22</xdr:col>
      <xdr:colOff>245479</xdr:colOff>
      <xdr:row>33</xdr:row>
      <xdr:rowOff>178925</xdr:rowOff>
    </xdr:to>
    <xdr:graphicFrame macro="">
      <xdr:nvGraphicFramePr>
        <xdr:cNvPr id="7" name="Chart 6">
          <a:extLst>
            <a:ext uri="{FF2B5EF4-FFF2-40B4-BE49-F238E27FC236}">
              <a16:creationId xmlns:a16="http://schemas.microsoft.com/office/drawing/2014/main" id="{AD83EBD8-FB76-4CFE-AD1C-76C64B28C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353670</xdr:colOff>
      <xdr:row>6</xdr:row>
      <xdr:rowOff>8038</xdr:rowOff>
    </xdr:from>
    <xdr:to>
      <xdr:col>10</xdr:col>
      <xdr:colOff>417974</xdr:colOff>
      <xdr:row>13</xdr:row>
      <xdr:rowOff>120571</xdr:rowOff>
    </xdr:to>
    <xdr:sp macro="" textlink="">
      <xdr:nvSpPr>
        <xdr:cNvPr id="12" name="Rectangle 11">
          <a:extLst>
            <a:ext uri="{FF2B5EF4-FFF2-40B4-BE49-F238E27FC236}">
              <a16:creationId xmlns:a16="http://schemas.microsoft.com/office/drawing/2014/main" id="{2515E878-7AEF-46B9-8854-C96B226A17B4}"/>
            </a:ext>
          </a:extLst>
        </xdr:cNvPr>
        <xdr:cNvSpPr/>
      </xdr:nvSpPr>
      <xdr:spPr>
        <a:xfrm>
          <a:off x="4018986" y="1117279"/>
          <a:ext cx="2507849" cy="140664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solidFill>
                <a:schemeClr val="tx1"/>
              </a:solidFill>
              <a:latin typeface="Arial Rounded MT Bold" panose="020F0704030504030204" pitchFamily="34" charset="0"/>
            </a:rPr>
            <a:t>Total</a:t>
          </a:r>
          <a:r>
            <a:rPr lang="en-IN" sz="2000" b="1" baseline="0">
              <a:solidFill>
                <a:schemeClr val="tx1"/>
              </a:solidFill>
              <a:latin typeface="Arial Rounded MT Bold" panose="020F0704030504030204" pitchFamily="34" charset="0"/>
            </a:rPr>
            <a:t> Profit</a:t>
          </a:r>
        </a:p>
        <a:p>
          <a:pPr algn="ctr"/>
          <a:r>
            <a:rPr lang="en-IN" sz="1600" b="1">
              <a:solidFill>
                <a:schemeClr val="tx1"/>
              </a:solidFill>
            </a:rPr>
            <a:t>₹ </a:t>
          </a:r>
          <a:r>
            <a:rPr lang="en-IN" sz="1600" b="1" i="0" u="none" strike="noStrike">
              <a:solidFill>
                <a:schemeClr val="tx1"/>
              </a:solidFill>
              <a:effectLst/>
              <a:latin typeface="+mn-lt"/>
              <a:ea typeface="+mn-ea"/>
              <a:cs typeface="+mn-cs"/>
            </a:rPr>
            <a:t>5,341</a:t>
          </a:r>
          <a:endParaRPr lang="en-IN" sz="2400" b="1">
            <a:solidFill>
              <a:schemeClr val="tx1"/>
            </a:solidFill>
            <a:latin typeface="Arial Rounded MT Bold" panose="020F0704030504030204" pitchFamily="34" charset="0"/>
          </a:endParaRPr>
        </a:p>
      </xdr:txBody>
    </xdr:sp>
    <xdr:clientData/>
  </xdr:twoCellAnchor>
  <xdr:twoCellAnchor>
    <xdr:from>
      <xdr:col>12</xdr:col>
      <xdr:colOff>80380</xdr:colOff>
      <xdr:row>6</xdr:row>
      <xdr:rowOff>40190</xdr:rowOff>
    </xdr:from>
    <xdr:to>
      <xdr:col>16</xdr:col>
      <xdr:colOff>144685</xdr:colOff>
      <xdr:row>13</xdr:row>
      <xdr:rowOff>152723</xdr:rowOff>
    </xdr:to>
    <xdr:sp macro="" textlink="">
      <xdr:nvSpPr>
        <xdr:cNvPr id="13" name="Rectangle 12">
          <a:extLst>
            <a:ext uri="{FF2B5EF4-FFF2-40B4-BE49-F238E27FC236}">
              <a16:creationId xmlns:a16="http://schemas.microsoft.com/office/drawing/2014/main" id="{161B99FE-4E4A-42DD-970E-A1924BB46523}"/>
            </a:ext>
          </a:extLst>
        </xdr:cNvPr>
        <xdr:cNvSpPr/>
      </xdr:nvSpPr>
      <xdr:spPr>
        <a:xfrm>
          <a:off x="7411013" y="1149431"/>
          <a:ext cx="2507849" cy="140664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solidFill>
                <a:schemeClr val="tx1"/>
              </a:solidFill>
              <a:latin typeface="Arial Rounded MT Bold" panose="020F0704030504030204" pitchFamily="34" charset="0"/>
            </a:rPr>
            <a:t>Average Sales</a:t>
          </a:r>
        </a:p>
        <a:p>
          <a:pPr algn="ctr"/>
          <a:r>
            <a:rPr lang="en-IN" sz="1600" b="1">
              <a:solidFill>
                <a:schemeClr val="tx1"/>
              </a:solidFill>
            </a:rPr>
            <a:t>₹ </a:t>
          </a:r>
          <a:r>
            <a:rPr lang="en-IN" sz="1600" b="1" i="0" u="none" strike="noStrike">
              <a:solidFill>
                <a:schemeClr val="tx1"/>
              </a:solidFill>
              <a:effectLst/>
              <a:latin typeface="+mn-lt"/>
              <a:ea typeface="+mn-ea"/>
              <a:cs typeface="+mn-cs"/>
            </a:rPr>
            <a:t>259.23</a:t>
          </a:r>
          <a:endParaRPr lang="en-IN" sz="3200" b="1">
            <a:solidFill>
              <a:schemeClr val="tx1"/>
            </a:solidFill>
            <a:latin typeface="Arial Rounded MT Bold" panose="020F0704030504030204" pitchFamily="34" charset="0"/>
          </a:endParaRPr>
        </a:p>
      </xdr:txBody>
    </xdr:sp>
    <xdr:clientData/>
  </xdr:twoCellAnchor>
  <xdr:twoCellAnchor>
    <xdr:from>
      <xdr:col>17</xdr:col>
      <xdr:colOff>474240</xdr:colOff>
      <xdr:row>6</xdr:row>
      <xdr:rowOff>32152</xdr:rowOff>
    </xdr:from>
    <xdr:to>
      <xdr:col>21</xdr:col>
      <xdr:colOff>538544</xdr:colOff>
      <xdr:row>13</xdr:row>
      <xdr:rowOff>144685</xdr:rowOff>
    </xdr:to>
    <xdr:sp macro="" textlink="">
      <xdr:nvSpPr>
        <xdr:cNvPr id="14" name="Rectangle 13">
          <a:extLst>
            <a:ext uri="{FF2B5EF4-FFF2-40B4-BE49-F238E27FC236}">
              <a16:creationId xmlns:a16="http://schemas.microsoft.com/office/drawing/2014/main" id="{054137AB-1DFD-4C5D-86FF-AE5260634A6D}"/>
            </a:ext>
          </a:extLst>
        </xdr:cNvPr>
        <xdr:cNvSpPr/>
      </xdr:nvSpPr>
      <xdr:spPr>
        <a:xfrm>
          <a:off x="10859303" y="1141393"/>
          <a:ext cx="2507849" cy="140664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solidFill>
                <a:schemeClr val="tx1"/>
              </a:solidFill>
              <a:latin typeface="Arial Rounded MT Bold" panose="020F0704030504030204" pitchFamily="34" charset="0"/>
            </a:rPr>
            <a:t>Total </a:t>
          </a:r>
          <a:r>
            <a:rPr lang="en-IN" sz="20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Orders</a:t>
          </a:r>
          <a:endParaRPr lang="en-IN" sz="2000" b="1">
            <a:solidFill>
              <a:schemeClr val="tx1"/>
            </a:solidFill>
            <a:latin typeface="Arial Rounded MT Bold" panose="020F0704030504030204" pitchFamily="34" charset="0"/>
          </a:endParaRPr>
        </a:p>
        <a:p>
          <a:pPr algn="ctr"/>
          <a:r>
            <a:rPr lang="en-IN" sz="1600" b="1" i="0" u="none" strike="noStrike">
              <a:solidFill>
                <a:schemeClr val="tx1"/>
              </a:solidFill>
              <a:effectLst/>
              <a:latin typeface="+mn-lt"/>
              <a:ea typeface="+mn-ea"/>
              <a:cs typeface="+mn-cs"/>
            </a:rPr>
            <a:t>500</a:t>
          </a:r>
          <a:endParaRPr lang="en-IN" sz="3200" b="1">
            <a:solidFill>
              <a:schemeClr val="tx1"/>
            </a:solidFill>
            <a:latin typeface="Arial Rounded MT Bold" panose="020F0704030504030204" pitchFamily="34" charset="0"/>
          </a:endParaRPr>
        </a:p>
      </xdr:txBody>
    </xdr:sp>
    <xdr:clientData/>
  </xdr:twoCellAnchor>
  <xdr:twoCellAnchor>
    <xdr:from>
      <xdr:col>1</xdr:col>
      <xdr:colOff>0</xdr:colOff>
      <xdr:row>6</xdr:row>
      <xdr:rowOff>0</xdr:rowOff>
    </xdr:from>
    <xdr:to>
      <xdr:col>5</xdr:col>
      <xdr:colOff>64305</xdr:colOff>
      <xdr:row>13</xdr:row>
      <xdr:rowOff>112533</xdr:rowOff>
    </xdr:to>
    <xdr:sp macro="" textlink="">
      <xdr:nvSpPr>
        <xdr:cNvPr id="15" name="Rectangle 14">
          <a:extLst>
            <a:ext uri="{FF2B5EF4-FFF2-40B4-BE49-F238E27FC236}">
              <a16:creationId xmlns:a16="http://schemas.microsoft.com/office/drawing/2014/main" id="{3A259D01-4A8C-4EA9-8B0F-D1E2B9E47358}"/>
            </a:ext>
          </a:extLst>
        </xdr:cNvPr>
        <xdr:cNvSpPr/>
      </xdr:nvSpPr>
      <xdr:spPr>
        <a:xfrm>
          <a:off x="610886" y="1109241"/>
          <a:ext cx="2507849" cy="140664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solidFill>
                <a:schemeClr val="tx1"/>
              </a:solidFill>
              <a:latin typeface="Arial Rounded MT Bold" panose="020F0704030504030204" pitchFamily="34" charset="0"/>
            </a:rPr>
            <a:t>Total Sales </a:t>
          </a:r>
        </a:p>
        <a:p>
          <a:pPr algn="ctr"/>
          <a:r>
            <a:rPr lang="en-IN" sz="1600" b="1">
              <a:solidFill>
                <a:schemeClr val="tx1"/>
              </a:solidFill>
            </a:rPr>
            <a:t>₹ </a:t>
          </a:r>
          <a:r>
            <a:rPr lang="en-IN" sz="1600" b="1" i="0" u="none" strike="noStrike">
              <a:solidFill>
                <a:schemeClr val="tx1"/>
              </a:solidFill>
              <a:effectLst/>
              <a:latin typeface="+mn-lt"/>
              <a:ea typeface="+mn-ea"/>
              <a:cs typeface="+mn-cs"/>
            </a:rPr>
            <a:t>1,29,357</a:t>
          </a:r>
          <a:endParaRPr lang="en-IN" sz="2800" b="1">
            <a:solidFill>
              <a:schemeClr val="tx1"/>
            </a:solidFill>
          </a:endParaRPr>
        </a:p>
      </xdr:txBody>
    </xdr:sp>
    <xdr:clientData/>
  </xdr:twoCellAnchor>
  <xdr:twoCellAnchor editAs="oneCell">
    <xdr:from>
      <xdr:col>23</xdr:col>
      <xdr:colOff>281329</xdr:colOff>
      <xdr:row>26</xdr:row>
      <xdr:rowOff>160760</xdr:rowOff>
    </xdr:from>
    <xdr:to>
      <xdr:col>26</xdr:col>
      <xdr:colOff>277471</xdr:colOff>
      <xdr:row>33</xdr:row>
      <xdr:rowOff>112532</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17E284A3-A78A-4D24-802A-CE35D932B5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88269" y="4842700"/>
              <a:ext cx="1815844" cy="1212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281329</xdr:colOff>
      <xdr:row>17</xdr:row>
      <xdr:rowOff>104494</xdr:rowOff>
    </xdr:from>
    <xdr:to>
      <xdr:col>26</xdr:col>
      <xdr:colOff>277471</xdr:colOff>
      <xdr:row>26</xdr:row>
      <xdr:rowOff>8038</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38E86B45-9C76-498B-A1D8-D3D7F108FD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88269" y="3165763"/>
              <a:ext cx="1815844" cy="1524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2.499376967593" createdVersion="6" refreshedVersion="6" minRefreshableVersion="3" recordCount="499" xr:uid="{BA1C276B-14BE-475F-843B-BA9B4529C61E}">
  <cacheSource type="worksheet">
    <worksheetSource name="data"/>
  </cacheSource>
  <cacheFields count="24">
    <cacheField name="Row ID" numFmtId="0">
      <sharedItems containsSemiMixedTypes="0" containsString="0" containsNumber="1" containsInteger="1" minValue="1" maxValue="499"/>
    </cacheField>
    <cacheField name="Order ID" numFmtId="0">
      <sharedItems/>
    </cacheField>
    <cacheField name="Order Date" numFmtId="14">
      <sharedItems containsSemiMixedTypes="0" containsNonDate="0" containsDate="1" containsString="0" minDate="2014-02-12T00:00:00" maxDate="2017-12-29T00:00:00" count="19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sharedItems>
      <fieldGroup par="23" base="2">
        <rangePr groupBy="months" startDate="2014-02-12T00:00:00" endDate="2017-12-29T00:00:00"/>
        <groupItems count="14">
          <s v="&lt;2/12/2014"/>
          <s v="Jan"/>
          <s v="Feb"/>
          <s v="Mar"/>
          <s v="Apr"/>
          <s v="May"/>
          <s v="Jun"/>
          <s v="Jul"/>
          <s v="Aug"/>
          <s v="Sep"/>
          <s v="Oct"/>
          <s v="Nov"/>
          <s v="Dec"/>
          <s v="&gt;12/29/2017"/>
        </groupItems>
      </fieldGroup>
    </cacheField>
    <cacheField name="Ship Date" numFmtId="14">
      <sharedItems containsSemiMixedTypes="0" containsNonDate="0" containsDate="1" containsString="0" minDate="2014-02-18T00:00:00" maxDate="2018-01-0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198"/>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442">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haredItems>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1995.99"/>
    </cacheField>
    <cacheField name="Sales Level" numFmtId="0">
      <sharedItems/>
    </cacheField>
    <cacheField name="Quarters" numFmtId="0" databaseField="0">
      <fieldGroup base="2">
        <rangePr groupBy="quarters" startDate="2014-02-12T00:00:00" endDate="2017-12-29T00:00:00"/>
        <groupItems count="6">
          <s v="&lt;2/12/2014"/>
          <s v="Qtr1"/>
          <s v="Qtr2"/>
          <s v="Qtr3"/>
          <s v="Qtr4"/>
          <s v="&gt;12/29/2017"/>
        </groupItems>
      </fieldGroup>
    </cacheField>
    <cacheField name="Years" numFmtId="0" databaseField="0">
      <fieldGroup base="2">
        <rangePr groupBy="years" startDate="2014-02-12T00:00:00" endDate="2017-12-29T00:00:00"/>
        <groupItems count="6">
          <s v="&lt;2/12/2014"/>
          <s v="2014"/>
          <s v="2015"/>
          <s v="2016"/>
          <s v="2017"/>
          <s v="&gt;12/29/2017"/>
        </groupItems>
      </fieldGroup>
    </cacheField>
  </cacheFields>
  <extLst>
    <ext xmlns:x14="http://schemas.microsoft.com/office/spreadsheetml/2009/9/main" uri="{725AE2AE-9491-48be-B2B4-4EB974FC3084}">
      <x14:pivotCacheDefinition pivotCacheId="1949401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A-2016-152156"/>
    <x v="0"/>
    <d v="2016-11-11T00:00:00"/>
    <s v="Second Class"/>
    <s v="CG-12520"/>
    <s v="Claire Gute"/>
    <s v="Consumer"/>
    <s v="United States"/>
    <s v="Henderson"/>
    <s v="Kentucky"/>
    <n v="42420"/>
    <x v="0"/>
    <s v="FUR-BO-10001798"/>
    <x v="0"/>
    <s v="Bookcases"/>
    <x v="0"/>
    <n v="261.95999999999998"/>
    <n v="2"/>
    <n v="0"/>
    <n v="41.913600000000002"/>
    <s v="Low"/>
  </r>
  <r>
    <n v="2"/>
    <s v="CA-2016-152156"/>
    <x v="0"/>
    <d v="2016-11-11T00:00:00"/>
    <s v="Second Class"/>
    <s v="CG-12520"/>
    <s v="Claire Gute"/>
    <s v="Consumer"/>
    <s v="United States"/>
    <s v="Henderson"/>
    <s v="Kentucky"/>
    <n v="42420"/>
    <x v="0"/>
    <s v="FUR-CH-10000454"/>
    <x v="0"/>
    <s v="Chairs"/>
    <x v="1"/>
    <n v="731.94"/>
    <n v="3"/>
    <n v="0"/>
    <n v="219.58199999999999"/>
    <s v="High"/>
  </r>
  <r>
    <n v="3"/>
    <s v="CA-2016-138688"/>
    <x v="1"/>
    <d v="2016-06-16T00:00:00"/>
    <s v="Second Class"/>
    <s v="DV-13045"/>
    <s v="Darrin Van Huff"/>
    <s v="Corporate"/>
    <s v="United States"/>
    <s v="Los Angeles"/>
    <s v="California"/>
    <n v="90036"/>
    <x v="1"/>
    <s v="OFF-LA-10000240"/>
    <x v="1"/>
    <s v="Labels"/>
    <x v="2"/>
    <n v="14.62"/>
    <n v="2"/>
    <n v="0"/>
    <n v="6.8714000000000004"/>
    <s v="Low"/>
  </r>
  <r>
    <n v="4"/>
    <s v="US-2015-108966"/>
    <x v="2"/>
    <d v="2015-10-18T00:00:00"/>
    <s v="Standard Class"/>
    <s v="SO-20335"/>
    <s v="Sean O'Donnell"/>
    <s v="Consumer"/>
    <s v="United States"/>
    <s v="Fort Lauderdale"/>
    <s v="Florida"/>
    <n v="33311"/>
    <x v="0"/>
    <s v="FUR-TA-10000577"/>
    <x v="0"/>
    <s v="Tables"/>
    <x v="3"/>
    <n v="957.57749999999999"/>
    <n v="5"/>
    <n v="0.45"/>
    <n v="-383.03100000000001"/>
    <s v="High"/>
  </r>
  <r>
    <n v="5"/>
    <s v="US-2015-108966"/>
    <x v="2"/>
    <d v="2015-10-18T00:00:00"/>
    <s v="Standard Class"/>
    <s v="SO-20335"/>
    <s v="Sean O'Donnell"/>
    <s v="Consumer"/>
    <s v="United States"/>
    <s v="Fort Lauderdale"/>
    <s v="Florida"/>
    <n v="33311"/>
    <x v="0"/>
    <s v="OFF-ST-10000760"/>
    <x v="1"/>
    <s v="Storage"/>
    <x v="4"/>
    <n v="22.367999999999999"/>
    <n v="2"/>
    <n v="0.2"/>
    <n v="2.5164"/>
    <s v="Low"/>
  </r>
  <r>
    <n v="6"/>
    <s v="CA-2014-115812"/>
    <x v="3"/>
    <d v="2014-06-14T00:00:00"/>
    <s v="Standard Class"/>
    <s v="BH-11710"/>
    <s v="Brosina Hoffman"/>
    <s v="Consumer"/>
    <s v="United States"/>
    <s v="Los Angeles"/>
    <s v="California"/>
    <n v="90032"/>
    <x v="1"/>
    <s v="FUR-FU-10001487"/>
    <x v="0"/>
    <s v="Furnishings"/>
    <x v="5"/>
    <n v="48.86"/>
    <n v="7"/>
    <n v="0"/>
    <n v="14.1694"/>
    <s v="Low"/>
  </r>
  <r>
    <n v="7"/>
    <s v="CA-2014-115812"/>
    <x v="3"/>
    <d v="2014-06-14T00:00:00"/>
    <s v="Standard Class"/>
    <s v="BH-11710"/>
    <s v="Brosina Hoffman"/>
    <s v="Consumer"/>
    <s v="United States"/>
    <s v="Los Angeles"/>
    <s v="California"/>
    <n v="90032"/>
    <x v="1"/>
    <s v="OFF-AR-10002833"/>
    <x v="1"/>
    <s v="Art"/>
    <x v="6"/>
    <n v="7.28"/>
    <n v="4"/>
    <n v="0"/>
    <n v="1.9656"/>
    <s v="Low"/>
  </r>
  <r>
    <n v="8"/>
    <s v="CA-2014-115812"/>
    <x v="3"/>
    <d v="2014-06-14T00:00:00"/>
    <s v="Standard Class"/>
    <s v="BH-11710"/>
    <s v="Brosina Hoffman"/>
    <s v="Consumer"/>
    <s v="United States"/>
    <s v="Los Angeles"/>
    <s v="California"/>
    <n v="90032"/>
    <x v="1"/>
    <s v="TEC-PH-10002275"/>
    <x v="2"/>
    <s v="Phones"/>
    <x v="7"/>
    <n v="907.15200000000004"/>
    <n v="6"/>
    <n v="0.2"/>
    <n v="90.715199999999996"/>
    <s v="High"/>
  </r>
  <r>
    <n v="9"/>
    <s v="CA-2014-115812"/>
    <x v="3"/>
    <d v="2014-06-14T00:00:00"/>
    <s v="Standard Class"/>
    <s v="BH-11710"/>
    <s v="Brosina Hoffman"/>
    <s v="Consumer"/>
    <s v="United States"/>
    <s v="Los Angeles"/>
    <s v="California"/>
    <n v="90032"/>
    <x v="1"/>
    <s v="OFF-BI-10003910"/>
    <x v="1"/>
    <s v="Binders"/>
    <x v="8"/>
    <n v="18.504000000000001"/>
    <n v="3"/>
    <n v="0.2"/>
    <n v="5.7824999999999998"/>
    <s v="Low"/>
  </r>
  <r>
    <n v="10"/>
    <s v="CA-2014-115812"/>
    <x v="3"/>
    <d v="2014-06-14T00:00:00"/>
    <s v="Standard Class"/>
    <s v="BH-11710"/>
    <s v="Brosina Hoffman"/>
    <s v="Consumer"/>
    <s v="United States"/>
    <s v="Los Angeles"/>
    <s v="California"/>
    <n v="90032"/>
    <x v="1"/>
    <s v="OFF-AP-10002892"/>
    <x v="1"/>
    <s v="Appliances"/>
    <x v="9"/>
    <n v="114.9"/>
    <n v="5"/>
    <n v="0"/>
    <n v="34.47"/>
    <s v="Low"/>
  </r>
  <r>
    <n v="11"/>
    <s v="CA-2014-115812"/>
    <x v="3"/>
    <d v="2014-06-14T00:00:00"/>
    <s v="Standard Class"/>
    <s v="BH-11710"/>
    <s v="Brosina Hoffman"/>
    <s v="Consumer"/>
    <s v="United States"/>
    <s v="Los Angeles"/>
    <s v="California"/>
    <n v="90032"/>
    <x v="1"/>
    <s v="FUR-TA-10001539"/>
    <x v="0"/>
    <s v="Tables"/>
    <x v="10"/>
    <n v="1706.184"/>
    <n v="9"/>
    <n v="0.2"/>
    <n v="85.309200000000004"/>
    <s v="High"/>
  </r>
  <r>
    <n v="12"/>
    <s v="CA-2014-115812"/>
    <x v="3"/>
    <d v="2014-06-14T00:00:00"/>
    <s v="Standard Class"/>
    <s v="BH-11710"/>
    <s v="Brosina Hoffman"/>
    <s v="Consumer"/>
    <s v="United States"/>
    <s v="Los Angeles"/>
    <s v="California"/>
    <n v="90032"/>
    <x v="1"/>
    <s v="TEC-PH-10002033"/>
    <x v="2"/>
    <s v="Phones"/>
    <x v="11"/>
    <n v="911.42399999999998"/>
    <n v="4"/>
    <n v="0.2"/>
    <n v="68.356800000000007"/>
    <s v="High"/>
  </r>
  <r>
    <n v="13"/>
    <s v="CA-2017-114412"/>
    <x v="4"/>
    <d v="2017-04-20T00:00:00"/>
    <s v="Standard Class"/>
    <s v="AA-10480"/>
    <s v="Andrew Allen"/>
    <s v="Consumer"/>
    <s v="United States"/>
    <s v="Concord"/>
    <s v="North Carolina"/>
    <n v="28027"/>
    <x v="0"/>
    <s v="OFF-PA-10002365"/>
    <x v="1"/>
    <s v="Paper"/>
    <x v="12"/>
    <n v="15.552"/>
    <n v="3"/>
    <n v="0.2"/>
    <n v="5.4432"/>
    <s v="Low"/>
  </r>
  <r>
    <n v="14"/>
    <s v="CA-2016-161389"/>
    <x v="5"/>
    <d v="2016-12-10T00:00:00"/>
    <s v="Standard Class"/>
    <s v="IM-15070"/>
    <s v="Irene Maddox"/>
    <s v="Consumer"/>
    <s v="United States"/>
    <s v="Seattle"/>
    <s v="Washington"/>
    <n v="98103"/>
    <x v="1"/>
    <s v="OFF-BI-10003656"/>
    <x v="1"/>
    <s v="Binders"/>
    <x v="13"/>
    <n v="407.976"/>
    <n v="3"/>
    <n v="0.2"/>
    <n v="132.59219999999999"/>
    <s v="Low"/>
  </r>
  <r>
    <n v="15"/>
    <s v="US-2015-118983"/>
    <x v="6"/>
    <d v="2015-11-26T00:00:00"/>
    <s v="Standard Class"/>
    <s v="HP-14815"/>
    <s v="Harold Pawlan"/>
    <s v="Home Office"/>
    <s v="United States"/>
    <s v="Fort Worth"/>
    <s v="Texas"/>
    <n v="76106"/>
    <x v="2"/>
    <s v="OFF-AP-10002311"/>
    <x v="1"/>
    <s v="Appliances"/>
    <x v="14"/>
    <n v="68.81"/>
    <n v="5"/>
    <n v="0.8"/>
    <n v="-123.858"/>
    <s v="Low"/>
  </r>
  <r>
    <n v="16"/>
    <s v="US-2015-118983"/>
    <x v="6"/>
    <d v="2015-11-26T00:00:00"/>
    <s v="Standard Class"/>
    <s v="HP-14815"/>
    <s v="Harold Pawlan"/>
    <s v="Home Office"/>
    <s v="United States"/>
    <s v="Fort Worth"/>
    <s v="Texas"/>
    <n v="76106"/>
    <x v="2"/>
    <s v="OFF-BI-10000756"/>
    <x v="1"/>
    <s v="Binders"/>
    <x v="15"/>
    <n v="2.544"/>
    <n v="3"/>
    <n v="0.8"/>
    <n v="-3.8159999999999998"/>
    <s v="Low"/>
  </r>
  <r>
    <n v="17"/>
    <s v="CA-2014-105893"/>
    <x v="7"/>
    <d v="2014-11-18T00:00:00"/>
    <s v="Standard Class"/>
    <s v="PK-19075"/>
    <s v="Pete Kriz"/>
    <s v="Consumer"/>
    <s v="United States"/>
    <s v="Madison"/>
    <s v="Wisconsin"/>
    <n v="53711"/>
    <x v="2"/>
    <s v="OFF-ST-10004186"/>
    <x v="1"/>
    <s v="Storage"/>
    <x v="16"/>
    <n v="665.88"/>
    <n v="6"/>
    <n v="0"/>
    <n v="13.317600000000001"/>
    <s v="High"/>
  </r>
  <r>
    <n v="18"/>
    <s v="CA-2014-167164"/>
    <x v="8"/>
    <d v="2014-05-15T00:00:00"/>
    <s v="Second Class"/>
    <s v="AG-10270"/>
    <s v="Alejandro Grove"/>
    <s v="Consumer"/>
    <s v="United States"/>
    <s v="West Jordan"/>
    <s v="Utah"/>
    <n v="84084"/>
    <x v="1"/>
    <s v="OFF-ST-10000107"/>
    <x v="1"/>
    <s v="Storage"/>
    <x v="17"/>
    <n v="55.5"/>
    <n v="2"/>
    <n v="0"/>
    <n v="9.99"/>
    <s v="Low"/>
  </r>
  <r>
    <n v="19"/>
    <s v="CA-2014-143336"/>
    <x v="9"/>
    <d v="2014-09-01T00:00:00"/>
    <s v="Second Class"/>
    <s v="ZD-21925"/>
    <s v="Zuschuss Donatelli"/>
    <s v="Consumer"/>
    <s v="United States"/>
    <s v="San Francisco"/>
    <s v="California"/>
    <n v="94109"/>
    <x v="1"/>
    <s v="OFF-AR-10003056"/>
    <x v="1"/>
    <s v="Art"/>
    <x v="18"/>
    <n v="8.56"/>
    <n v="2"/>
    <n v="0"/>
    <n v="2.4824000000000002"/>
    <s v="Low"/>
  </r>
  <r>
    <n v="20"/>
    <s v="CA-2014-143336"/>
    <x v="9"/>
    <d v="2014-09-01T00:00:00"/>
    <s v="Second Class"/>
    <s v="ZD-21925"/>
    <s v="Zuschuss Donatelli"/>
    <s v="Consumer"/>
    <s v="United States"/>
    <s v="San Francisco"/>
    <s v="California"/>
    <n v="94109"/>
    <x v="1"/>
    <s v="TEC-PH-10001949"/>
    <x v="2"/>
    <s v="Phones"/>
    <x v="19"/>
    <n v="213.48"/>
    <n v="3"/>
    <n v="0.2"/>
    <n v="16.010999999999999"/>
    <s v="Low"/>
  </r>
  <r>
    <n v="21"/>
    <s v="CA-2014-143336"/>
    <x v="9"/>
    <d v="2014-09-01T00:00:00"/>
    <s v="Second Class"/>
    <s v="ZD-21925"/>
    <s v="Zuschuss Donatelli"/>
    <s v="Consumer"/>
    <s v="United States"/>
    <s v="San Francisco"/>
    <s v="California"/>
    <n v="94109"/>
    <x v="1"/>
    <s v="OFF-BI-10002215"/>
    <x v="1"/>
    <s v="Binders"/>
    <x v="20"/>
    <n v="22.72"/>
    <n v="4"/>
    <n v="0.2"/>
    <n v="7.3840000000000003"/>
    <s v="Low"/>
  </r>
  <r>
    <n v="22"/>
    <s v="CA-2016-137330"/>
    <x v="10"/>
    <d v="2016-12-13T00:00:00"/>
    <s v="Standard Class"/>
    <s v="KB-16585"/>
    <s v="Ken Black"/>
    <s v="Corporate"/>
    <s v="United States"/>
    <s v="Fremont"/>
    <s v="Nebraska"/>
    <n v="68025"/>
    <x v="2"/>
    <s v="OFF-AR-10000246"/>
    <x v="1"/>
    <s v="Art"/>
    <x v="21"/>
    <n v="19.46"/>
    <n v="7"/>
    <n v="0"/>
    <n v="5.0595999999999997"/>
    <s v="Low"/>
  </r>
  <r>
    <n v="23"/>
    <s v="CA-2016-137330"/>
    <x v="10"/>
    <d v="2016-12-13T00:00:00"/>
    <s v="Standard Class"/>
    <s v="KB-16585"/>
    <s v="Ken Black"/>
    <s v="Corporate"/>
    <s v="United States"/>
    <s v="Fremont"/>
    <s v="Nebraska"/>
    <n v="68025"/>
    <x v="2"/>
    <s v="OFF-AP-10001492"/>
    <x v="1"/>
    <s v="Appliances"/>
    <x v="22"/>
    <n v="60.34"/>
    <n v="7"/>
    <n v="0"/>
    <n v="15.6884"/>
    <s v="Low"/>
  </r>
  <r>
    <n v="24"/>
    <s v="US-2017-156909"/>
    <x v="11"/>
    <d v="2017-07-18T00:00:00"/>
    <s v="Second Class"/>
    <s v="SF-20065"/>
    <s v="Sandra Flanagan"/>
    <s v="Consumer"/>
    <s v="United States"/>
    <s v="Philadelphia"/>
    <s v="Pennsylvania"/>
    <n v="19140"/>
    <x v="3"/>
    <s v="FUR-CH-10002774"/>
    <x v="0"/>
    <s v="Chairs"/>
    <x v="23"/>
    <n v="71.372"/>
    <n v="2"/>
    <n v="0.3"/>
    <n v="-1.0196000000000001"/>
    <s v="Low"/>
  </r>
  <r>
    <n v="25"/>
    <s v="CA-2015-106320"/>
    <x v="12"/>
    <d v="2015-09-30T00:00:00"/>
    <s v="Standard Class"/>
    <s v="EB-13870"/>
    <s v="Emily Burns"/>
    <s v="Consumer"/>
    <s v="United States"/>
    <s v="Orem"/>
    <s v="Utah"/>
    <n v="84057"/>
    <x v="1"/>
    <s v="FUR-TA-10000577"/>
    <x v="0"/>
    <s v="Tables"/>
    <x v="3"/>
    <n v="1044.6300000000001"/>
    <n v="3"/>
    <n v="0"/>
    <n v="240.26490000000001"/>
    <s v="High"/>
  </r>
  <r>
    <n v="26"/>
    <s v="CA-2016-121755"/>
    <x v="13"/>
    <d v="2016-01-20T00:00:00"/>
    <s v="Second Class"/>
    <s v="EH-13945"/>
    <s v="Eric Hoffmann"/>
    <s v="Consumer"/>
    <s v="United States"/>
    <s v="Los Angeles"/>
    <s v="California"/>
    <n v="90049"/>
    <x v="1"/>
    <s v="OFF-BI-10001634"/>
    <x v="1"/>
    <s v="Binders"/>
    <x v="24"/>
    <n v="11.648"/>
    <n v="2"/>
    <n v="0.2"/>
    <n v="4.2224000000000004"/>
    <s v="Low"/>
  </r>
  <r>
    <n v="27"/>
    <s v="CA-2016-121755"/>
    <x v="13"/>
    <d v="2016-01-20T00:00:00"/>
    <s v="Second Class"/>
    <s v="EH-13945"/>
    <s v="Eric Hoffmann"/>
    <s v="Consumer"/>
    <s v="United States"/>
    <s v="Los Angeles"/>
    <s v="California"/>
    <n v="90049"/>
    <x v="1"/>
    <s v="TEC-AC-10003027"/>
    <x v="2"/>
    <s v="Accessories"/>
    <x v="25"/>
    <n v="90.57"/>
    <n v="3"/>
    <n v="0"/>
    <n v="11.774100000000001"/>
    <s v="Low"/>
  </r>
  <r>
    <n v="28"/>
    <s v="US-2015-150630"/>
    <x v="14"/>
    <d v="2015-09-21T00:00:00"/>
    <s v="Standard Class"/>
    <s v="TB-21520"/>
    <s v="Tracy Blumstein"/>
    <s v="Consumer"/>
    <s v="United States"/>
    <s v="Philadelphia"/>
    <s v="Pennsylvania"/>
    <n v="19140"/>
    <x v="3"/>
    <s v="FUR-BO-10004834"/>
    <x v="0"/>
    <s v="Bookcases"/>
    <x v="26"/>
    <n v="3083.43"/>
    <n v="7"/>
    <n v="0.5"/>
    <n v="-1665.0522000000001"/>
    <s v="High"/>
  </r>
  <r>
    <n v="29"/>
    <s v="US-2015-150630"/>
    <x v="14"/>
    <d v="2015-09-21T00:00:00"/>
    <s v="Standard Class"/>
    <s v="TB-21520"/>
    <s v="Tracy Blumstein"/>
    <s v="Consumer"/>
    <s v="United States"/>
    <s v="Philadelphia"/>
    <s v="Pennsylvania"/>
    <n v="19140"/>
    <x v="3"/>
    <s v="OFF-BI-10000474"/>
    <x v="1"/>
    <s v="Binders"/>
    <x v="27"/>
    <n v="9.6180000000000003"/>
    <n v="2"/>
    <n v="0.7"/>
    <n v="-7.0532000000000004"/>
    <s v="Low"/>
  </r>
  <r>
    <n v="30"/>
    <s v="US-2015-150630"/>
    <x v="14"/>
    <d v="2015-09-21T00:00:00"/>
    <s v="Standard Class"/>
    <s v="TB-21520"/>
    <s v="Tracy Blumstein"/>
    <s v="Consumer"/>
    <s v="United States"/>
    <s v="Philadelphia"/>
    <s v="Pennsylvania"/>
    <n v="19140"/>
    <x v="3"/>
    <s v="FUR-FU-10004848"/>
    <x v="0"/>
    <s v="Furnishings"/>
    <x v="28"/>
    <n v="124.2"/>
    <n v="3"/>
    <n v="0.2"/>
    <n v="15.525"/>
    <s v="Low"/>
  </r>
  <r>
    <n v="31"/>
    <s v="US-2015-150630"/>
    <x v="14"/>
    <d v="2015-09-21T00:00:00"/>
    <s v="Standard Class"/>
    <s v="TB-21520"/>
    <s v="Tracy Blumstein"/>
    <s v="Consumer"/>
    <s v="United States"/>
    <s v="Philadelphia"/>
    <s v="Pennsylvania"/>
    <n v="19140"/>
    <x v="3"/>
    <s v="OFF-EN-10001509"/>
    <x v="1"/>
    <s v="Envelopes"/>
    <x v="29"/>
    <n v="3.2639999999999998"/>
    <n v="2"/>
    <n v="0.2"/>
    <n v="1.1015999999999999"/>
    <s v="Low"/>
  </r>
  <r>
    <n v="32"/>
    <s v="US-2015-150630"/>
    <x v="14"/>
    <d v="2015-09-21T00:00:00"/>
    <s v="Standard Class"/>
    <s v="TB-21520"/>
    <s v="Tracy Blumstein"/>
    <s v="Consumer"/>
    <s v="United States"/>
    <s v="Philadelphia"/>
    <s v="Pennsylvania"/>
    <n v="19140"/>
    <x v="3"/>
    <s v="OFF-AR-10004042"/>
    <x v="1"/>
    <s v="Art"/>
    <x v="30"/>
    <n v="86.304000000000002"/>
    <n v="6"/>
    <n v="0.2"/>
    <n v="9.7091999999999992"/>
    <s v="Low"/>
  </r>
  <r>
    <n v="33"/>
    <s v="US-2015-150630"/>
    <x v="14"/>
    <d v="2015-09-21T00:00:00"/>
    <s v="Standard Class"/>
    <s v="TB-21520"/>
    <s v="Tracy Blumstein"/>
    <s v="Consumer"/>
    <s v="United States"/>
    <s v="Philadelphia"/>
    <s v="Pennsylvania"/>
    <n v="19140"/>
    <x v="3"/>
    <s v="OFF-BI-10001525"/>
    <x v="1"/>
    <s v="Binders"/>
    <x v="31"/>
    <n v="6.8579999999999997"/>
    <n v="6"/>
    <n v="0.7"/>
    <n v="-5.7149999999999999"/>
    <s v="Low"/>
  </r>
  <r>
    <n v="34"/>
    <s v="US-2015-150630"/>
    <x v="14"/>
    <d v="2015-09-21T00:00:00"/>
    <s v="Standard Class"/>
    <s v="TB-21520"/>
    <s v="Tracy Blumstein"/>
    <s v="Consumer"/>
    <s v="United States"/>
    <s v="Philadelphia"/>
    <s v="Pennsylvania"/>
    <n v="19140"/>
    <x v="3"/>
    <s v="OFF-AR-10001683"/>
    <x v="1"/>
    <s v="Art"/>
    <x v="32"/>
    <n v="15.76"/>
    <n v="2"/>
    <n v="0.2"/>
    <n v="3.5459999999999998"/>
    <s v="Low"/>
  </r>
  <r>
    <n v="35"/>
    <s v="CA-2017-107727"/>
    <x v="15"/>
    <d v="2017-10-23T00:00:00"/>
    <s v="Second Class"/>
    <s v="MA-17560"/>
    <s v="Matt Abelman"/>
    <s v="Home Office"/>
    <s v="United States"/>
    <s v="Houston"/>
    <s v="Texas"/>
    <n v="77095"/>
    <x v="2"/>
    <s v="OFF-PA-10000249"/>
    <x v="1"/>
    <s v="Paper"/>
    <x v="33"/>
    <n v="29.472000000000001"/>
    <n v="3"/>
    <n v="0.2"/>
    <n v="9.9467999999999996"/>
    <s v="Low"/>
  </r>
  <r>
    <n v="36"/>
    <s v="CA-2016-117590"/>
    <x v="16"/>
    <d v="2016-12-10T00:00:00"/>
    <s v="First Class"/>
    <s v="GH-14485"/>
    <s v="Gene Hale"/>
    <s v="Corporate"/>
    <s v="United States"/>
    <s v="Richardson"/>
    <s v="Texas"/>
    <n v="75080"/>
    <x v="2"/>
    <s v="TEC-PH-10004977"/>
    <x v="2"/>
    <s v="Phones"/>
    <x v="34"/>
    <n v="1097.5440000000001"/>
    <n v="7"/>
    <n v="0.2"/>
    <n v="123.47369999999999"/>
    <s v="High"/>
  </r>
  <r>
    <n v="37"/>
    <s v="CA-2016-117590"/>
    <x v="16"/>
    <d v="2016-12-10T00:00:00"/>
    <s v="First Class"/>
    <s v="GH-14485"/>
    <s v="Gene Hale"/>
    <s v="Corporate"/>
    <s v="United States"/>
    <s v="Richardson"/>
    <s v="Texas"/>
    <n v="75080"/>
    <x v="2"/>
    <s v="FUR-FU-10003664"/>
    <x v="0"/>
    <s v="Furnishings"/>
    <x v="35"/>
    <n v="190.92"/>
    <n v="5"/>
    <n v="0.6"/>
    <n v="-147.96299999999999"/>
    <s v="Low"/>
  </r>
  <r>
    <n v="38"/>
    <s v="CA-2015-117415"/>
    <x v="17"/>
    <d v="2015-12-31T00:00:00"/>
    <s v="Standard Class"/>
    <s v="SN-20710"/>
    <s v="Steve Nguyen"/>
    <s v="Home Office"/>
    <s v="United States"/>
    <s v="Houston"/>
    <s v="Texas"/>
    <n v="77041"/>
    <x v="2"/>
    <s v="OFF-EN-10002986"/>
    <x v="1"/>
    <s v="Envelopes"/>
    <x v="36"/>
    <n v="113.328"/>
    <n v="9"/>
    <n v="0.2"/>
    <n v="35.414999999999999"/>
    <s v="Low"/>
  </r>
  <r>
    <n v="39"/>
    <s v="CA-2015-117415"/>
    <x v="17"/>
    <d v="2015-12-31T00:00:00"/>
    <s v="Standard Class"/>
    <s v="SN-20710"/>
    <s v="Steve Nguyen"/>
    <s v="Home Office"/>
    <s v="United States"/>
    <s v="Houston"/>
    <s v="Texas"/>
    <n v="77041"/>
    <x v="2"/>
    <s v="FUR-BO-10002545"/>
    <x v="0"/>
    <s v="Bookcases"/>
    <x v="37"/>
    <n v="532.39919999999995"/>
    <n v="3"/>
    <n v="0.32"/>
    <n v="-46.976399999999998"/>
    <s v="High"/>
  </r>
  <r>
    <n v="40"/>
    <s v="CA-2015-117415"/>
    <x v="17"/>
    <d v="2015-12-31T00:00:00"/>
    <s v="Standard Class"/>
    <s v="SN-20710"/>
    <s v="Steve Nguyen"/>
    <s v="Home Office"/>
    <s v="United States"/>
    <s v="Houston"/>
    <s v="Texas"/>
    <n v="77041"/>
    <x v="2"/>
    <s v="FUR-CH-10004218"/>
    <x v="0"/>
    <s v="Chairs"/>
    <x v="38"/>
    <n v="212.05799999999999"/>
    <n v="3"/>
    <n v="0.3"/>
    <n v="-15.147"/>
    <s v="Low"/>
  </r>
  <r>
    <n v="41"/>
    <s v="CA-2015-117415"/>
    <x v="17"/>
    <d v="2015-12-31T00:00:00"/>
    <s v="Standard Class"/>
    <s v="SN-20710"/>
    <s v="Steve Nguyen"/>
    <s v="Home Office"/>
    <s v="United States"/>
    <s v="Houston"/>
    <s v="Texas"/>
    <n v="77041"/>
    <x v="2"/>
    <s v="TEC-PH-10000486"/>
    <x v="2"/>
    <s v="Phones"/>
    <x v="39"/>
    <n v="371.16800000000001"/>
    <n v="4"/>
    <n v="0.2"/>
    <n v="41.756399999999999"/>
    <s v="Low"/>
  </r>
  <r>
    <n v="42"/>
    <s v="CA-2017-120999"/>
    <x v="18"/>
    <d v="2017-09-15T00:00:00"/>
    <s v="Standard Class"/>
    <s v="LC-16930"/>
    <s v="Linda Cazamias"/>
    <s v="Corporate"/>
    <s v="United States"/>
    <s v="Naperville"/>
    <s v="Illinois"/>
    <n v="60540"/>
    <x v="2"/>
    <s v="TEC-PH-10004093"/>
    <x v="2"/>
    <s v="Phones"/>
    <x v="40"/>
    <n v="147.16800000000001"/>
    <n v="4"/>
    <n v="0.2"/>
    <n v="16.5564"/>
    <s v="Low"/>
  </r>
  <r>
    <n v="43"/>
    <s v="CA-2016-101343"/>
    <x v="19"/>
    <d v="2016-07-22T00:00:00"/>
    <s v="Standard Class"/>
    <s v="RA-19885"/>
    <s v="Ruben Ausman"/>
    <s v="Corporate"/>
    <s v="United States"/>
    <s v="Los Angeles"/>
    <s v="California"/>
    <n v="90049"/>
    <x v="1"/>
    <s v="OFF-ST-10003479"/>
    <x v="1"/>
    <s v="Storage"/>
    <x v="41"/>
    <n v="77.88"/>
    <n v="2"/>
    <n v="0"/>
    <n v="3.8940000000000001"/>
    <s v="Low"/>
  </r>
  <r>
    <n v="44"/>
    <s v="CA-2017-139619"/>
    <x v="20"/>
    <d v="2017-09-23T00:00:00"/>
    <s v="Standard Class"/>
    <s v="ES-14080"/>
    <s v="Erin Smith"/>
    <s v="Corporate"/>
    <s v="United States"/>
    <s v="Melbourne"/>
    <s v="Florida"/>
    <n v="32935"/>
    <x v="0"/>
    <s v="OFF-ST-10003282"/>
    <x v="1"/>
    <s v="Storage"/>
    <x v="42"/>
    <n v="95.616"/>
    <n v="2"/>
    <n v="0.2"/>
    <n v="9.5616000000000003"/>
    <s v="Low"/>
  </r>
  <r>
    <n v="45"/>
    <s v="CA-2016-118255"/>
    <x v="21"/>
    <d v="2016-03-13T00:00:00"/>
    <s v="First Class"/>
    <s v="ON-18715"/>
    <s v="Odella Nelson"/>
    <s v="Corporate"/>
    <s v="United States"/>
    <s v="Eagan"/>
    <s v="Minnesota"/>
    <n v="55122"/>
    <x v="2"/>
    <s v="TEC-AC-10000171"/>
    <x v="2"/>
    <s v="Accessories"/>
    <x v="43"/>
    <n v="45.98"/>
    <n v="2"/>
    <n v="0"/>
    <n v="19.7714"/>
    <s v="Low"/>
  </r>
  <r>
    <n v="46"/>
    <s v="CA-2016-118255"/>
    <x v="21"/>
    <d v="2016-03-13T00:00:00"/>
    <s v="First Class"/>
    <s v="ON-18715"/>
    <s v="Odella Nelson"/>
    <s v="Corporate"/>
    <s v="United States"/>
    <s v="Eagan"/>
    <s v="Minnesota"/>
    <n v="55122"/>
    <x v="2"/>
    <s v="OFF-BI-10003291"/>
    <x v="1"/>
    <s v="Binders"/>
    <x v="44"/>
    <n v="17.46"/>
    <n v="2"/>
    <n v="0"/>
    <n v="8.2062000000000008"/>
    <s v="Low"/>
  </r>
  <r>
    <n v="47"/>
    <s v="CA-2014-146703"/>
    <x v="22"/>
    <d v="2014-10-25T00:00:00"/>
    <s v="Second Class"/>
    <s v="PO-18865"/>
    <s v="Patrick O'Donnell"/>
    <s v="Consumer"/>
    <s v="United States"/>
    <s v="Westland"/>
    <s v="Michigan"/>
    <n v="48185"/>
    <x v="2"/>
    <s v="OFF-ST-10001713"/>
    <x v="1"/>
    <s v="Storage"/>
    <x v="45"/>
    <n v="211.96"/>
    <n v="4"/>
    <n v="0"/>
    <n v="8.4784000000000006"/>
    <s v="Low"/>
  </r>
  <r>
    <n v="48"/>
    <s v="CA-2016-169194"/>
    <x v="23"/>
    <d v="2016-06-25T00:00:00"/>
    <s v="Standard Class"/>
    <s v="LH-16900"/>
    <s v="Lena Hernandez"/>
    <s v="Consumer"/>
    <s v="United States"/>
    <s v="Dover"/>
    <s v="Delaware"/>
    <n v="19901"/>
    <x v="3"/>
    <s v="TEC-AC-10002167"/>
    <x v="2"/>
    <s v="Accessories"/>
    <x v="46"/>
    <n v="45"/>
    <n v="3"/>
    <n v="0"/>
    <n v="4.95"/>
    <s v="Low"/>
  </r>
  <r>
    <n v="49"/>
    <s v="CA-2016-169194"/>
    <x v="23"/>
    <d v="2016-06-25T00:00:00"/>
    <s v="Standard Class"/>
    <s v="LH-16900"/>
    <s v="Lena Hernandez"/>
    <s v="Consumer"/>
    <s v="United States"/>
    <s v="Dover"/>
    <s v="Delaware"/>
    <n v="19901"/>
    <x v="3"/>
    <s v="TEC-PH-10003988"/>
    <x v="2"/>
    <s v="Phones"/>
    <x v="47"/>
    <n v="21.8"/>
    <n v="2"/>
    <n v="0"/>
    <n v="6.1040000000000001"/>
    <s v="Low"/>
  </r>
  <r>
    <n v="50"/>
    <s v="CA-2015-115742"/>
    <x v="24"/>
    <d v="2015-04-22T00:00:00"/>
    <s v="Standard Class"/>
    <s v="DP-13000"/>
    <s v="Darren Powers"/>
    <s v="Consumer"/>
    <s v="United States"/>
    <s v="New Albany"/>
    <s v="Indiana"/>
    <n v="47150"/>
    <x v="2"/>
    <s v="OFF-BI-10004410"/>
    <x v="1"/>
    <s v="Binders"/>
    <x v="48"/>
    <n v="38.22"/>
    <n v="6"/>
    <n v="0"/>
    <n v="17.9634"/>
    <s v="Low"/>
  </r>
  <r>
    <n v="51"/>
    <s v="CA-2015-115742"/>
    <x v="24"/>
    <d v="2015-04-22T00:00:00"/>
    <s v="Standard Class"/>
    <s v="DP-13000"/>
    <s v="Darren Powers"/>
    <s v="Consumer"/>
    <s v="United States"/>
    <s v="New Albany"/>
    <s v="Indiana"/>
    <n v="47150"/>
    <x v="2"/>
    <s v="OFF-LA-10002762"/>
    <x v="1"/>
    <s v="Labels"/>
    <x v="49"/>
    <n v="75.180000000000007"/>
    <n v="6"/>
    <n v="0"/>
    <n v="35.334600000000002"/>
    <s v="Low"/>
  </r>
  <r>
    <n v="52"/>
    <s v="CA-2015-115742"/>
    <x v="24"/>
    <d v="2015-04-22T00:00:00"/>
    <s v="Standard Class"/>
    <s v="DP-13000"/>
    <s v="Darren Powers"/>
    <s v="Consumer"/>
    <s v="United States"/>
    <s v="New Albany"/>
    <s v="Indiana"/>
    <n v="47150"/>
    <x v="2"/>
    <s v="FUR-FU-10001706"/>
    <x v="0"/>
    <s v="Furnishings"/>
    <x v="50"/>
    <n v="6.16"/>
    <n v="2"/>
    <n v="0"/>
    <n v="2.9567999999999999"/>
    <s v="Low"/>
  </r>
  <r>
    <n v="53"/>
    <s v="CA-2015-115742"/>
    <x v="24"/>
    <d v="2015-04-22T00:00:00"/>
    <s v="Standard Class"/>
    <s v="DP-13000"/>
    <s v="Darren Powers"/>
    <s v="Consumer"/>
    <s v="United States"/>
    <s v="New Albany"/>
    <s v="Indiana"/>
    <n v="47150"/>
    <x v="2"/>
    <s v="FUR-CH-10003061"/>
    <x v="0"/>
    <s v="Chairs"/>
    <x v="51"/>
    <n v="89.99"/>
    <n v="1"/>
    <n v="0"/>
    <n v="17.098099999999999"/>
    <s v="Low"/>
  </r>
  <r>
    <n v="54"/>
    <s v="CA-2016-105816"/>
    <x v="25"/>
    <d v="2016-12-17T00:00:00"/>
    <s v="Standard Class"/>
    <s v="JM-15265"/>
    <s v="Janet Molinari"/>
    <s v="Corporate"/>
    <s v="United States"/>
    <s v="New York City"/>
    <s v="New York"/>
    <n v="10024"/>
    <x v="3"/>
    <s v="OFF-FA-10000304"/>
    <x v="1"/>
    <s v="Fasteners"/>
    <x v="52"/>
    <n v="15.26"/>
    <n v="7"/>
    <n v="0"/>
    <n v="6.2565999999999997"/>
    <s v="Low"/>
  </r>
  <r>
    <n v="55"/>
    <s v="CA-2016-105816"/>
    <x v="25"/>
    <d v="2016-12-17T00:00:00"/>
    <s v="Standard Class"/>
    <s v="JM-15265"/>
    <s v="Janet Molinari"/>
    <s v="Corporate"/>
    <s v="United States"/>
    <s v="New York City"/>
    <s v="New York"/>
    <n v="10024"/>
    <x v="3"/>
    <s v="TEC-PH-10002447"/>
    <x v="2"/>
    <s v="Phones"/>
    <x v="53"/>
    <n v="1029.95"/>
    <n v="5"/>
    <n v="0"/>
    <n v="298.68549999999999"/>
    <s v="High"/>
  </r>
  <r>
    <n v="56"/>
    <s v="CA-2016-111682"/>
    <x v="26"/>
    <d v="2016-06-18T00:00:00"/>
    <s v="First Class"/>
    <s v="TB-21055"/>
    <s v="Ted Butterfield"/>
    <s v="Consumer"/>
    <s v="United States"/>
    <s v="Troy"/>
    <s v="New York"/>
    <n v="12180"/>
    <x v="3"/>
    <s v="OFF-ST-10000604"/>
    <x v="1"/>
    <s v="Storage"/>
    <x v="54"/>
    <n v="208.56"/>
    <n v="6"/>
    <n v="0"/>
    <n v="52.14"/>
    <s v="Low"/>
  </r>
  <r>
    <n v="57"/>
    <s v="CA-2016-111682"/>
    <x v="26"/>
    <d v="2016-06-18T00:00:00"/>
    <s v="First Class"/>
    <s v="TB-21055"/>
    <s v="Ted Butterfield"/>
    <s v="Consumer"/>
    <s v="United States"/>
    <s v="Troy"/>
    <s v="New York"/>
    <n v="12180"/>
    <x v="3"/>
    <s v="OFF-PA-10001569"/>
    <x v="1"/>
    <s v="Paper"/>
    <x v="55"/>
    <n v="32.4"/>
    <n v="5"/>
    <n v="0"/>
    <n v="15.552"/>
    <s v="Low"/>
  </r>
  <r>
    <n v="58"/>
    <s v="CA-2016-111682"/>
    <x v="26"/>
    <d v="2016-06-18T00:00:00"/>
    <s v="First Class"/>
    <s v="TB-21055"/>
    <s v="Ted Butterfield"/>
    <s v="Consumer"/>
    <s v="United States"/>
    <s v="Troy"/>
    <s v="New York"/>
    <n v="12180"/>
    <x v="3"/>
    <s v="FUR-CH-10003968"/>
    <x v="0"/>
    <s v="Chairs"/>
    <x v="56"/>
    <n v="319.41000000000003"/>
    <n v="5"/>
    <n v="0.1"/>
    <n v="7.0979999999999999"/>
    <s v="Low"/>
  </r>
  <r>
    <n v="59"/>
    <s v="CA-2016-111682"/>
    <x v="26"/>
    <d v="2016-06-18T00:00:00"/>
    <s v="First Class"/>
    <s v="TB-21055"/>
    <s v="Ted Butterfield"/>
    <s v="Consumer"/>
    <s v="United States"/>
    <s v="Troy"/>
    <s v="New York"/>
    <n v="12180"/>
    <x v="3"/>
    <s v="OFF-PA-10000587"/>
    <x v="1"/>
    <s v="Paper"/>
    <x v="57"/>
    <n v="14.56"/>
    <n v="2"/>
    <n v="0"/>
    <n v="6.9888000000000003"/>
    <s v="Low"/>
  </r>
  <r>
    <n v="60"/>
    <s v="CA-2016-111682"/>
    <x v="26"/>
    <d v="2016-06-18T00:00:00"/>
    <s v="First Class"/>
    <s v="TB-21055"/>
    <s v="Ted Butterfield"/>
    <s v="Consumer"/>
    <s v="United States"/>
    <s v="Troy"/>
    <s v="New York"/>
    <n v="12180"/>
    <x v="3"/>
    <s v="TEC-AC-10002167"/>
    <x v="2"/>
    <s v="Accessories"/>
    <x v="46"/>
    <n v="30"/>
    <n v="2"/>
    <n v="0"/>
    <n v="3.3"/>
    <s v="Low"/>
  </r>
  <r>
    <n v="61"/>
    <s v="CA-2016-111682"/>
    <x v="26"/>
    <d v="2016-06-18T00:00:00"/>
    <s v="First Class"/>
    <s v="TB-21055"/>
    <s v="Ted Butterfield"/>
    <s v="Consumer"/>
    <s v="United States"/>
    <s v="Troy"/>
    <s v="New York"/>
    <n v="12180"/>
    <x v="3"/>
    <s v="OFF-BI-10001460"/>
    <x v="1"/>
    <s v="Binders"/>
    <x v="58"/>
    <n v="48.48"/>
    <n v="4"/>
    <n v="0.2"/>
    <n v="16.361999999999998"/>
    <s v="Low"/>
  </r>
  <r>
    <n v="62"/>
    <s v="CA-2016-111682"/>
    <x v="26"/>
    <d v="2016-06-18T00:00:00"/>
    <s v="First Class"/>
    <s v="TB-21055"/>
    <s v="Ted Butterfield"/>
    <s v="Consumer"/>
    <s v="United States"/>
    <s v="Troy"/>
    <s v="New York"/>
    <n v="12180"/>
    <x v="3"/>
    <s v="OFF-AR-10001868"/>
    <x v="1"/>
    <s v="Art"/>
    <x v="59"/>
    <n v="1.68"/>
    <n v="1"/>
    <n v="0"/>
    <n v="0.84"/>
    <s v="Low"/>
  </r>
  <r>
    <n v="63"/>
    <s v="CA-2015-135545"/>
    <x v="27"/>
    <d v="2015-11-30T00:00:00"/>
    <s v="Standard Class"/>
    <s v="KM-16720"/>
    <s v="Kunst Miller"/>
    <s v="Consumer"/>
    <s v="United States"/>
    <s v="Los Angeles"/>
    <s v="California"/>
    <n v="90004"/>
    <x v="1"/>
    <s v="TEC-AC-10004633"/>
    <x v="2"/>
    <s v="Accessories"/>
    <x v="60"/>
    <n v="13.98"/>
    <n v="2"/>
    <n v="0"/>
    <n v="6.1512000000000002"/>
    <s v="Low"/>
  </r>
  <r>
    <n v="64"/>
    <s v="CA-2015-135545"/>
    <x v="27"/>
    <d v="2015-11-30T00:00:00"/>
    <s v="Standard Class"/>
    <s v="KM-16720"/>
    <s v="Kunst Miller"/>
    <s v="Consumer"/>
    <s v="United States"/>
    <s v="Los Angeles"/>
    <s v="California"/>
    <n v="90004"/>
    <x v="1"/>
    <s v="OFF-BI-10001078"/>
    <x v="1"/>
    <s v="Binders"/>
    <x v="61"/>
    <n v="25.824000000000002"/>
    <n v="6"/>
    <n v="0.2"/>
    <n v="9.3612000000000002"/>
    <s v="Low"/>
  </r>
  <r>
    <n v="65"/>
    <s v="CA-2015-135545"/>
    <x v="27"/>
    <d v="2015-11-30T00:00:00"/>
    <s v="Standard Class"/>
    <s v="KM-16720"/>
    <s v="Kunst Miller"/>
    <s v="Consumer"/>
    <s v="United States"/>
    <s v="Los Angeles"/>
    <s v="California"/>
    <n v="90004"/>
    <x v="1"/>
    <s v="OFF-PA-10003892"/>
    <x v="1"/>
    <s v="Paper"/>
    <x v="62"/>
    <n v="146.72999999999999"/>
    <n v="3"/>
    <n v="0"/>
    <n v="68.963099999999997"/>
    <s v="Low"/>
  </r>
  <r>
    <n v="66"/>
    <s v="CA-2015-135545"/>
    <x v="27"/>
    <d v="2015-11-30T00:00:00"/>
    <s v="Standard Class"/>
    <s v="KM-16720"/>
    <s v="Kunst Miller"/>
    <s v="Consumer"/>
    <s v="United States"/>
    <s v="Los Angeles"/>
    <s v="California"/>
    <n v="90004"/>
    <x v="1"/>
    <s v="FUR-FU-10000397"/>
    <x v="0"/>
    <s v="Furnishings"/>
    <x v="63"/>
    <n v="79.760000000000005"/>
    <n v="4"/>
    <n v="0"/>
    <n v="22.332799999999999"/>
    <s v="Low"/>
  </r>
  <r>
    <n v="67"/>
    <s v="US-2015-164175"/>
    <x v="28"/>
    <d v="2015-05-05T00:00:00"/>
    <s v="Standard Class"/>
    <s v="PS-18970"/>
    <s v="Paul Stevenson"/>
    <s v="Home Office"/>
    <s v="United States"/>
    <s v="Chicago"/>
    <s v="Illinois"/>
    <n v="60610"/>
    <x v="2"/>
    <s v="FUR-CH-10001146"/>
    <x v="0"/>
    <s v="Chairs"/>
    <x v="64"/>
    <n v="213.11500000000001"/>
    <n v="5"/>
    <n v="0.3"/>
    <n v="-15.2225"/>
    <s v="Low"/>
  </r>
  <r>
    <n v="68"/>
    <s v="CA-2014-106376"/>
    <x v="29"/>
    <d v="2014-12-10T00:00:00"/>
    <s v="Standard Class"/>
    <s v="BS-11590"/>
    <s v="Brendan Sweed"/>
    <s v="Corporate"/>
    <s v="United States"/>
    <s v="Gilbert"/>
    <s v="Arizona"/>
    <n v="85234"/>
    <x v="1"/>
    <s v="OFF-AR-10002671"/>
    <x v="1"/>
    <s v="Art"/>
    <x v="65"/>
    <n v="1113.0239999999999"/>
    <n v="8"/>
    <n v="0.2"/>
    <n v="111.30240000000001"/>
    <s v="High"/>
  </r>
  <r>
    <n v="69"/>
    <s v="CA-2014-106376"/>
    <x v="29"/>
    <d v="2014-12-10T00:00:00"/>
    <s v="Standard Class"/>
    <s v="BS-11590"/>
    <s v="Brendan Sweed"/>
    <s v="Corporate"/>
    <s v="United States"/>
    <s v="Gilbert"/>
    <s v="Arizona"/>
    <n v="85234"/>
    <x v="1"/>
    <s v="TEC-PH-10002726"/>
    <x v="2"/>
    <s v="Phones"/>
    <x v="66"/>
    <n v="167.96799999999999"/>
    <n v="4"/>
    <n v="0.2"/>
    <n v="62.988"/>
    <s v="Low"/>
  </r>
  <r>
    <n v="70"/>
    <s v="CA-2016-119823"/>
    <x v="30"/>
    <d v="2016-06-06T00:00:00"/>
    <s v="First Class"/>
    <s v="KD-16270"/>
    <s v="Karen Daniels"/>
    <s v="Consumer"/>
    <s v="United States"/>
    <s v="Springfield"/>
    <s v="Virginia"/>
    <n v="22153"/>
    <x v="0"/>
    <s v="OFF-PA-10000482"/>
    <x v="1"/>
    <s v="Paper"/>
    <x v="67"/>
    <n v="75.88"/>
    <n v="2"/>
    <n v="0"/>
    <n v="35.663600000000002"/>
    <s v="Low"/>
  </r>
  <r>
    <n v="71"/>
    <s v="CA-2016-106075"/>
    <x v="31"/>
    <d v="2016-09-23T00:00:00"/>
    <s v="Standard Class"/>
    <s v="HM-14980"/>
    <s v="Henry MacAllister"/>
    <s v="Consumer"/>
    <s v="United States"/>
    <s v="New York City"/>
    <s v="New York"/>
    <n v="10009"/>
    <x v="3"/>
    <s v="OFF-BI-10004654"/>
    <x v="1"/>
    <s v="Binders"/>
    <x v="68"/>
    <n v="4.6159999999999997"/>
    <n v="1"/>
    <n v="0.2"/>
    <n v="1.7310000000000001"/>
    <s v="Low"/>
  </r>
  <r>
    <n v="72"/>
    <s v="CA-2017-114440"/>
    <x v="32"/>
    <d v="2017-09-17T00:00:00"/>
    <s v="Second Class"/>
    <s v="TB-21520"/>
    <s v="Tracy Blumstein"/>
    <s v="Consumer"/>
    <s v="United States"/>
    <s v="Jackson"/>
    <s v="Michigan"/>
    <n v="49201"/>
    <x v="2"/>
    <s v="OFF-PA-10004675"/>
    <x v="1"/>
    <s v="Paper"/>
    <x v="69"/>
    <n v="19.05"/>
    <n v="3"/>
    <n v="0"/>
    <n v="8.7629999999999999"/>
    <s v="Low"/>
  </r>
  <r>
    <n v="73"/>
    <s v="US-2015-134026"/>
    <x v="33"/>
    <d v="2015-05-02T00:00:00"/>
    <s v="Standard Class"/>
    <s v="JE-15745"/>
    <s v="Joel Eaton"/>
    <s v="Consumer"/>
    <s v="United States"/>
    <s v="Memphis"/>
    <s v="Tennessee"/>
    <n v="38109"/>
    <x v="0"/>
    <s v="FUR-CH-10000513"/>
    <x v="0"/>
    <s v="Chairs"/>
    <x v="70"/>
    <n v="831.93600000000004"/>
    <n v="8"/>
    <n v="0.2"/>
    <n v="-114.3912"/>
    <s v="High"/>
  </r>
  <r>
    <n v="74"/>
    <s v="US-2015-134026"/>
    <x v="33"/>
    <d v="2015-05-02T00:00:00"/>
    <s v="Standard Class"/>
    <s v="JE-15745"/>
    <s v="Joel Eaton"/>
    <s v="Consumer"/>
    <s v="United States"/>
    <s v="Memphis"/>
    <s v="Tennessee"/>
    <n v="38109"/>
    <x v="0"/>
    <s v="FUR-FU-10003708"/>
    <x v="0"/>
    <s v="Furnishings"/>
    <x v="71"/>
    <n v="97.04"/>
    <n v="2"/>
    <n v="0.2"/>
    <n v="1.2130000000000001"/>
    <s v="Low"/>
  </r>
  <r>
    <n v="75"/>
    <s v="US-2015-134026"/>
    <x v="33"/>
    <d v="2015-05-02T00:00:00"/>
    <s v="Standard Class"/>
    <s v="JE-15745"/>
    <s v="Joel Eaton"/>
    <s v="Consumer"/>
    <s v="United States"/>
    <s v="Memphis"/>
    <s v="Tennessee"/>
    <n v="38109"/>
    <x v="0"/>
    <s v="OFF-ST-10004123"/>
    <x v="1"/>
    <s v="Storage"/>
    <x v="72"/>
    <n v="72.784000000000006"/>
    <n v="1"/>
    <n v="0.2"/>
    <n v="-18.196000000000002"/>
    <s v="Low"/>
  </r>
  <r>
    <n v="76"/>
    <s v="US-2017-118038"/>
    <x v="34"/>
    <d v="2017-12-11T00:00:00"/>
    <s v="First Class"/>
    <s v="KB-16600"/>
    <s v="Ken Brennan"/>
    <s v="Corporate"/>
    <s v="United States"/>
    <s v="Houston"/>
    <s v="Texas"/>
    <n v="77041"/>
    <x v="2"/>
    <s v="OFF-BI-10004182"/>
    <x v="1"/>
    <s v="Binders"/>
    <x v="73"/>
    <n v="1.248"/>
    <n v="3"/>
    <n v="0.8"/>
    <n v="-1.9343999999999999"/>
    <s v="Low"/>
  </r>
  <r>
    <n v="77"/>
    <s v="US-2017-118038"/>
    <x v="34"/>
    <d v="2017-12-11T00:00:00"/>
    <s v="First Class"/>
    <s v="KB-16600"/>
    <s v="Ken Brennan"/>
    <s v="Corporate"/>
    <s v="United States"/>
    <s v="Houston"/>
    <s v="Texas"/>
    <n v="77041"/>
    <x v="2"/>
    <s v="FUR-FU-10000260"/>
    <x v="0"/>
    <s v="Furnishings"/>
    <x v="74"/>
    <n v="9.7080000000000002"/>
    <n v="3"/>
    <n v="0.6"/>
    <n v="-5.8247999999999998"/>
    <s v="Low"/>
  </r>
  <r>
    <n v="78"/>
    <s v="US-2017-118038"/>
    <x v="34"/>
    <d v="2017-12-11T00:00:00"/>
    <s v="First Class"/>
    <s v="KB-16600"/>
    <s v="Ken Brennan"/>
    <s v="Corporate"/>
    <s v="United States"/>
    <s v="Houston"/>
    <s v="Texas"/>
    <n v="77041"/>
    <x v="2"/>
    <s v="OFF-ST-10000615"/>
    <x v="1"/>
    <s v="Storage"/>
    <x v="75"/>
    <n v="27.24"/>
    <n v="3"/>
    <n v="0.2"/>
    <n v="2.7240000000000002"/>
    <s v="Low"/>
  </r>
  <r>
    <n v="79"/>
    <s v="US-2014-147606"/>
    <x v="35"/>
    <d v="2014-12-01T00:00:00"/>
    <s v="Second Class"/>
    <s v="JE-15745"/>
    <s v="Joel Eaton"/>
    <s v="Consumer"/>
    <s v="United States"/>
    <s v="Houston"/>
    <s v="Texas"/>
    <n v="77070"/>
    <x v="2"/>
    <s v="FUR-FU-10003194"/>
    <x v="0"/>
    <s v="Furnishings"/>
    <x v="76"/>
    <n v="19.3"/>
    <n v="5"/>
    <n v="0.6"/>
    <n v="-14.475"/>
    <s v="Low"/>
  </r>
  <r>
    <n v="80"/>
    <s v="CA-2016-127208"/>
    <x v="1"/>
    <d v="2016-06-15T00:00:00"/>
    <s v="First Class"/>
    <s v="SC-20770"/>
    <s v="Stewart Carmichael"/>
    <s v="Corporate"/>
    <s v="United States"/>
    <s v="Decatur"/>
    <s v="Alabama"/>
    <n v="35601"/>
    <x v="0"/>
    <s v="OFF-AP-10002118"/>
    <x v="1"/>
    <s v="Appliances"/>
    <x v="77"/>
    <n v="208.16"/>
    <n v="1"/>
    <n v="0"/>
    <n v="56.203200000000002"/>
    <s v="Low"/>
  </r>
  <r>
    <n v="81"/>
    <s v="CA-2016-127208"/>
    <x v="1"/>
    <d v="2016-06-15T00:00:00"/>
    <s v="First Class"/>
    <s v="SC-20770"/>
    <s v="Stewart Carmichael"/>
    <s v="Corporate"/>
    <s v="United States"/>
    <s v="Decatur"/>
    <s v="Alabama"/>
    <n v="35601"/>
    <x v="0"/>
    <s v="OFF-BI-10002309"/>
    <x v="1"/>
    <s v="Binders"/>
    <x v="78"/>
    <n v="16.739999999999998"/>
    <n v="3"/>
    <n v="0"/>
    <n v="8.0351999999999997"/>
    <s v="Low"/>
  </r>
  <r>
    <n v="82"/>
    <s v="CA-2014-139451"/>
    <x v="36"/>
    <d v="2014-10-16T00:00:00"/>
    <s v="Standard Class"/>
    <s v="DN-13690"/>
    <s v="Duane Noonan"/>
    <s v="Consumer"/>
    <s v="United States"/>
    <s v="San Francisco"/>
    <s v="California"/>
    <n v="94122"/>
    <x v="1"/>
    <s v="OFF-AR-10002053"/>
    <x v="1"/>
    <s v="Art"/>
    <x v="79"/>
    <n v="14.9"/>
    <n v="5"/>
    <n v="0"/>
    <n v="4.1719999999999997"/>
    <s v="Low"/>
  </r>
  <r>
    <n v="83"/>
    <s v="CA-2014-139451"/>
    <x v="36"/>
    <d v="2014-10-16T00:00:00"/>
    <s v="Standard Class"/>
    <s v="DN-13690"/>
    <s v="Duane Noonan"/>
    <s v="Consumer"/>
    <s v="United States"/>
    <s v="San Francisco"/>
    <s v="California"/>
    <n v="94122"/>
    <x v="1"/>
    <s v="OFF-ST-10002370"/>
    <x v="1"/>
    <s v="Storage"/>
    <x v="80"/>
    <n v="21.39"/>
    <n v="1"/>
    <n v="0"/>
    <n v="6.2031000000000001"/>
    <s v="Low"/>
  </r>
  <r>
    <n v="84"/>
    <s v="CA-2015-149734"/>
    <x v="37"/>
    <d v="2015-09-08T00:00:00"/>
    <s v="Standard Class"/>
    <s v="JC-16105"/>
    <s v="Julie Creighton"/>
    <s v="Corporate"/>
    <s v="United States"/>
    <s v="Durham"/>
    <s v="North Carolina"/>
    <n v="27707"/>
    <x v="0"/>
    <s v="OFF-EN-10000927"/>
    <x v="1"/>
    <s v="Envelopes"/>
    <x v="81"/>
    <n v="200.98400000000001"/>
    <n v="7"/>
    <n v="0.2"/>
    <n v="62.807499999999997"/>
    <s v="Low"/>
  </r>
  <r>
    <n v="85"/>
    <s v="US-2017-119662"/>
    <x v="38"/>
    <d v="2017-11-16T00:00:00"/>
    <s v="First Class"/>
    <s v="CS-12400"/>
    <s v="Christopher Schild"/>
    <s v="Home Office"/>
    <s v="United States"/>
    <s v="Chicago"/>
    <s v="Illinois"/>
    <n v="60623"/>
    <x v="2"/>
    <s v="OFF-ST-10003656"/>
    <x v="1"/>
    <s v="Storage"/>
    <x v="82"/>
    <n v="230.376"/>
    <n v="3"/>
    <n v="0.2"/>
    <n v="-48.954900000000002"/>
    <s v="Low"/>
  </r>
  <r>
    <n v="86"/>
    <s v="CA-2017-140088"/>
    <x v="39"/>
    <d v="2017-05-30T00:00:00"/>
    <s v="Second Class"/>
    <s v="PO-18865"/>
    <s v="Patrick O'Donnell"/>
    <s v="Consumer"/>
    <s v="United States"/>
    <s v="Columbia"/>
    <s v="South Carolina"/>
    <n v="29203"/>
    <x v="0"/>
    <s v="FUR-CH-10000863"/>
    <x v="0"/>
    <s v="Chairs"/>
    <x v="83"/>
    <n v="301.95999999999998"/>
    <n v="2"/>
    <n v="0"/>
    <n v="33.215600000000002"/>
    <s v="Low"/>
  </r>
  <r>
    <n v="87"/>
    <s v="CA-2017-155558"/>
    <x v="40"/>
    <d v="2017-11-02T00:00:00"/>
    <s v="Standard Class"/>
    <s v="PG-18895"/>
    <s v="Paul Gonzalez"/>
    <s v="Consumer"/>
    <s v="United States"/>
    <s v="Rochester"/>
    <s v="Minnesota"/>
    <n v="55901"/>
    <x v="2"/>
    <s v="TEC-AC-10001998"/>
    <x v="2"/>
    <s v="Accessories"/>
    <x v="84"/>
    <n v="19.989999999999998"/>
    <n v="1"/>
    <n v="0"/>
    <n v="6.7965999999999998"/>
    <s v="Low"/>
  </r>
  <r>
    <n v="88"/>
    <s v="CA-2017-155558"/>
    <x v="40"/>
    <d v="2017-11-02T00:00:00"/>
    <s v="Standard Class"/>
    <s v="PG-18895"/>
    <s v="Paul Gonzalez"/>
    <s v="Consumer"/>
    <s v="United States"/>
    <s v="Rochester"/>
    <s v="Minnesota"/>
    <n v="55901"/>
    <x v="2"/>
    <s v="OFF-LA-10000134"/>
    <x v="1"/>
    <s v="Labels"/>
    <x v="85"/>
    <n v="6.16"/>
    <n v="2"/>
    <n v="0"/>
    <n v="2.9567999999999999"/>
    <s v="Low"/>
  </r>
  <r>
    <n v="89"/>
    <s v="CA-2016-159695"/>
    <x v="41"/>
    <d v="2016-04-10T00:00:00"/>
    <s v="Second Class"/>
    <s v="GM-14455"/>
    <s v="Gary Mitchum"/>
    <s v="Home Office"/>
    <s v="United States"/>
    <s v="Houston"/>
    <s v="Texas"/>
    <n v="77095"/>
    <x v="2"/>
    <s v="OFF-ST-10003442"/>
    <x v="1"/>
    <s v="Storage"/>
    <x v="86"/>
    <n v="158.36799999999999"/>
    <n v="7"/>
    <n v="0.2"/>
    <n v="13.857200000000001"/>
    <s v="Low"/>
  </r>
  <r>
    <n v="90"/>
    <s v="CA-2016-109806"/>
    <x v="42"/>
    <d v="2016-09-22T00:00:00"/>
    <s v="Standard Class"/>
    <s v="JS-15685"/>
    <s v="Jim Sink"/>
    <s v="Corporate"/>
    <s v="United States"/>
    <s v="Los Angeles"/>
    <s v="California"/>
    <n v="90036"/>
    <x v="1"/>
    <s v="OFF-AR-10004930"/>
    <x v="1"/>
    <s v="Art"/>
    <x v="87"/>
    <n v="20.100000000000001"/>
    <n v="3"/>
    <n v="0"/>
    <n v="6.633"/>
    <s v="Low"/>
  </r>
  <r>
    <n v="91"/>
    <s v="CA-2016-109806"/>
    <x v="42"/>
    <d v="2016-09-22T00:00:00"/>
    <s v="Standard Class"/>
    <s v="JS-15685"/>
    <s v="Jim Sink"/>
    <s v="Corporate"/>
    <s v="United States"/>
    <s v="Los Angeles"/>
    <s v="California"/>
    <n v="90036"/>
    <x v="1"/>
    <s v="TEC-PH-10004093"/>
    <x v="2"/>
    <s v="Phones"/>
    <x v="40"/>
    <n v="73.584000000000003"/>
    <n v="2"/>
    <n v="0.2"/>
    <n v="8.2782"/>
    <s v="Low"/>
  </r>
  <r>
    <n v="92"/>
    <s v="CA-2016-109806"/>
    <x v="42"/>
    <d v="2016-09-22T00:00:00"/>
    <s v="Standard Class"/>
    <s v="JS-15685"/>
    <s v="Jim Sink"/>
    <s v="Corporate"/>
    <s v="United States"/>
    <s v="Los Angeles"/>
    <s v="California"/>
    <n v="90036"/>
    <x v="1"/>
    <s v="OFF-PA-10000304"/>
    <x v="1"/>
    <s v="Paper"/>
    <x v="88"/>
    <n v="6.48"/>
    <n v="1"/>
    <n v="0"/>
    <n v="3.1103999999999998"/>
    <s v="Low"/>
  </r>
  <r>
    <n v="93"/>
    <s v="CA-2015-149587"/>
    <x v="43"/>
    <d v="2015-02-05T00:00:00"/>
    <s v="Second Class"/>
    <s v="KB-16315"/>
    <s v="Karl Braun"/>
    <s v="Consumer"/>
    <s v="United States"/>
    <s v="Minneapolis"/>
    <s v="Minnesota"/>
    <n v="55407"/>
    <x v="2"/>
    <s v="OFF-PA-10003177"/>
    <x v="1"/>
    <s v="Paper"/>
    <x v="89"/>
    <n v="12.96"/>
    <n v="2"/>
    <n v="0"/>
    <n v="6.2207999999999997"/>
    <s v="Low"/>
  </r>
  <r>
    <n v="94"/>
    <s v="CA-2015-149587"/>
    <x v="43"/>
    <d v="2015-02-05T00:00:00"/>
    <s v="Second Class"/>
    <s v="KB-16315"/>
    <s v="Karl Braun"/>
    <s v="Consumer"/>
    <s v="United States"/>
    <s v="Minneapolis"/>
    <s v="Minnesota"/>
    <n v="55407"/>
    <x v="2"/>
    <s v="FUR-FU-10003799"/>
    <x v="0"/>
    <s v="Furnishings"/>
    <x v="90"/>
    <n v="53.34"/>
    <n v="3"/>
    <n v="0"/>
    <n v="16.535399999999999"/>
    <s v="Low"/>
  </r>
  <r>
    <n v="95"/>
    <s v="CA-2015-149587"/>
    <x v="43"/>
    <d v="2015-02-05T00:00:00"/>
    <s v="Second Class"/>
    <s v="KB-16315"/>
    <s v="Karl Braun"/>
    <s v="Consumer"/>
    <s v="United States"/>
    <s v="Minneapolis"/>
    <s v="Minnesota"/>
    <n v="55407"/>
    <x v="2"/>
    <s v="OFF-BI-10002852"/>
    <x v="1"/>
    <s v="Binders"/>
    <x v="91"/>
    <n v="32.96"/>
    <n v="2"/>
    <n v="0"/>
    <n v="16.150400000000001"/>
    <s v="Low"/>
  </r>
  <r>
    <n v="96"/>
    <s v="US-2017-109484"/>
    <x v="44"/>
    <d v="2017-11-12T00:00:00"/>
    <s v="Standard Class"/>
    <s v="RB-19705"/>
    <s v="Roger Barcio"/>
    <s v="Home Office"/>
    <s v="United States"/>
    <s v="Portland"/>
    <s v="Oregon"/>
    <n v="97206"/>
    <x v="1"/>
    <s v="OFF-BI-10004738"/>
    <x v="1"/>
    <s v="Binders"/>
    <x v="92"/>
    <n v="5.6820000000000004"/>
    <n v="1"/>
    <n v="0.7"/>
    <n v="-3.7879999999999998"/>
    <s v="Low"/>
  </r>
  <r>
    <n v="97"/>
    <s v="CA-2017-161018"/>
    <x v="45"/>
    <d v="2017-11-11T00:00:00"/>
    <s v="Second Class"/>
    <s v="PN-18775"/>
    <s v="Parhena Norris"/>
    <s v="Home Office"/>
    <s v="United States"/>
    <s v="New York City"/>
    <s v="New York"/>
    <n v="10009"/>
    <x v="3"/>
    <s v="FUR-FU-10000629"/>
    <x v="0"/>
    <s v="Furnishings"/>
    <x v="93"/>
    <n v="96.53"/>
    <n v="7"/>
    <n v="0"/>
    <n v="40.5426"/>
    <s v="Low"/>
  </r>
  <r>
    <n v="98"/>
    <s v="CA-2017-157833"/>
    <x v="46"/>
    <d v="2017-06-20T00:00:00"/>
    <s v="First Class"/>
    <s v="KD-16345"/>
    <s v="Katherine Ducich"/>
    <s v="Consumer"/>
    <s v="United States"/>
    <s v="San Francisco"/>
    <s v="California"/>
    <n v="94122"/>
    <x v="1"/>
    <s v="OFF-BI-10001721"/>
    <x v="1"/>
    <s v="Binders"/>
    <x v="94"/>
    <n v="51.311999999999998"/>
    <n v="3"/>
    <n v="0.2"/>
    <n v="17.959199999999999"/>
    <s v="Low"/>
  </r>
  <r>
    <n v="99"/>
    <s v="CA-2016-149223"/>
    <x v="47"/>
    <d v="2016-09-11T00:00:00"/>
    <s v="Standard Class"/>
    <s v="ER-13855"/>
    <s v="Elpida Rittenbach"/>
    <s v="Corporate"/>
    <s v="United States"/>
    <s v="Saint Paul"/>
    <s v="Minnesota"/>
    <n v="55106"/>
    <x v="2"/>
    <s v="OFF-AP-10000358"/>
    <x v="1"/>
    <s v="Appliances"/>
    <x v="95"/>
    <n v="77.88"/>
    <n v="6"/>
    <n v="0"/>
    <n v="22.5852"/>
    <s v="Low"/>
  </r>
  <r>
    <n v="100"/>
    <s v="CA-2016-158568"/>
    <x v="48"/>
    <d v="2016-09-02T00:00:00"/>
    <s v="Standard Class"/>
    <s v="RB-19465"/>
    <s v="Rick Bensley"/>
    <s v="Home Office"/>
    <s v="United States"/>
    <s v="Chicago"/>
    <s v="Illinois"/>
    <n v="60610"/>
    <x v="2"/>
    <s v="OFF-PA-10003256"/>
    <x v="1"/>
    <s v="Paper"/>
    <x v="96"/>
    <n v="64.623999999999995"/>
    <n v="7"/>
    <n v="0.2"/>
    <n v="22.618400000000001"/>
    <s v="Low"/>
  </r>
  <r>
    <n v="101"/>
    <s v="CA-2016-158568"/>
    <x v="48"/>
    <d v="2016-09-02T00:00:00"/>
    <s v="Standard Class"/>
    <s v="RB-19465"/>
    <s v="Rick Bensley"/>
    <s v="Home Office"/>
    <s v="United States"/>
    <s v="Chicago"/>
    <s v="Illinois"/>
    <n v="60610"/>
    <x v="2"/>
    <s v="TEC-AC-10001767"/>
    <x v="2"/>
    <s v="Accessories"/>
    <x v="97"/>
    <n v="95.975999999999999"/>
    <n v="3"/>
    <n v="0.2"/>
    <n v="-10.7973"/>
    <s v="Low"/>
  </r>
  <r>
    <n v="102"/>
    <s v="CA-2016-158568"/>
    <x v="48"/>
    <d v="2016-09-02T00:00:00"/>
    <s v="Standard Class"/>
    <s v="RB-19465"/>
    <s v="Rick Bensley"/>
    <s v="Home Office"/>
    <s v="United States"/>
    <s v="Chicago"/>
    <s v="Illinois"/>
    <n v="60610"/>
    <x v="2"/>
    <s v="OFF-BI-10002609"/>
    <x v="1"/>
    <s v="Binders"/>
    <x v="98"/>
    <n v="1.788"/>
    <n v="3"/>
    <n v="0.8"/>
    <n v="-3.0396000000000001"/>
    <s v="Low"/>
  </r>
  <r>
    <n v="103"/>
    <s v="CA-2016-129903"/>
    <x v="49"/>
    <d v="2016-12-04T00:00:00"/>
    <s v="Second Class"/>
    <s v="GZ-14470"/>
    <s v="Gary Zandusky"/>
    <s v="Consumer"/>
    <s v="United States"/>
    <s v="Rochester"/>
    <s v="Minnesota"/>
    <n v="55901"/>
    <x v="2"/>
    <s v="OFF-PA-10004040"/>
    <x v="1"/>
    <s v="Paper"/>
    <x v="99"/>
    <n v="23.92"/>
    <n v="4"/>
    <n v="0"/>
    <n v="11.720800000000001"/>
    <s v="Low"/>
  </r>
  <r>
    <n v="104"/>
    <s v="US-2015-156867"/>
    <x v="50"/>
    <d v="2015-11-17T00:00:00"/>
    <s v="Standard Class"/>
    <s v="LC-16870"/>
    <s v="Lena Cacioppo"/>
    <s v="Consumer"/>
    <s v="United States"/>
    <s v="Aurora"/>
    <s v="Colorado"/>
    <n v="80013"/>
    <x v="1"/>
    <s v="TEC-AC-10001552"/>
    <x v="2"/>
    <s v="Accessories"/>
    <x v="100"/>
    <n v="238.89599999999999"/>
    <n v="6"/>
    <n v="0.2"/>
    <n v="-26.875800000000002"/>
    <s v="Low"/>
  </r>
  <r>
    <n v="105"/>
    <s v="US-2015-156867"/>
    <x v="50"/>
    <d v="2015-11-17T00:00:00"/>
    <s v="Standard Class"/>
    <s v="LC-16870"/>
    <s v="Lena Cacioppo"/>
    <s v="Consumer"/>
    <s v="United States"/>
    <s v="Aurora"/>
    <s v="Colorado"/>
    <n v="80013"/>
    <x v="1"/>
    <s v="FUR-FU-10004006"/>
    <x v="0"/>
    <s v="Furnishings"/>
    <x v="101"/>
    <n v="102.36"/>
    <n v="3"/>
    <n v="0.2"/>
    <n v="-3.8384999999999998"/>
    <s v="Low"/>
  </r>
  <r>
    <n v="106"/>
    <s v="US-2015-156867"/>
    <x v="50"/>
    <d v="2015-11-17T00:00:00"/>
    <s v="Standard Class"/>
    <s v="LC-16870"/>
    <s v="Lena Cacioppo"/>
    <s v="Consumer"/>
    <s v="United States"/>
    <s v="Aurora"/>
    <s v="Colorado"/>
    <n v="80013"/>
    <x v="1"/>
    <s v="OFF-BI-10002794"/>
    <x v="1"/>
    <s v="Binders"/>
    <x v="102"/>
    <n v="36.881999999999998"/>
    <n v="3"/>
    <n v="0.7"/>
    <n v="-25.817399999999999"/>
    <s v="Low"/>
  </r>
  <r>
    <n v="107"/>
    <s v="CA-2017-119004"/>
    <x v="51"/>
    <d v="2017-11-28T00:00:00"/>
    <s v="Standard Class"/>
    <s v="JM-15250"/>
    <s v="Janet Martin"/>
    <s v="Consumer"/>
    <s v="United States"/>
    <s v="Charlotte"/>
    <s v="North Carolina"/>
    <n v="28205"/>
    <x v="0"/>
    <s v="TEC-AC-10003499"/>
    <x v="2"/>
    <s v="Accessories"/>
    <x v="103"/>
    <n v="74.111999999999995"/>
    <n v="8"/>
    <n v="0.2"/>
    <n v="17.601600000000001"/>
    <s v="Low"/>
  </r>
  <r>
    <n v="108"/>
    <s v="CA-2017-119004"/>
    <x v="51"/>
    <d v="2017-11-28T00:00:00"/>
    <s v="Standard Class"/>
    <s v="JM-15250"/>
    <s v="Janet Martin"/>
    <s v="Consumer"/>
    <s v="United States"/>
    <s v="Charlotte"/>
    <s v="North Carolina"/>
    <n v="28205"/>
    <x v="0"/>
    <s v="TEC-PH-10002844"/>
    <x v="2"/>
    <s v="Phones"/>
    <x v="104"/>
    <n v="27.992000000000001"/>
    <n v="1"/>
    <n v="0.2"/>
    <n v="2.0994000000000002"/>
    <s v="Low"/>
  </r>
  <r>
    <n v="109"/>
    <s v="CA-2017-119004"/>
    <x v="51"/>
    <d v="2017-11-28T00:00:00"/>
    <s v="Standard Class"/>
    <s v="JM-15250"/>
    <s v="Janet Martin"/>
    <s v="Consumer"/>
    <s v="United States"/>
    <s v="Charlotte"/>
    <s v="North Carolina"/>
    <n v="28205"/>
    <x v="0"/>
    <s v="OFF-AR-10000390"/>
    <x v="1"/>
    <s v="Art"/>
    <x v="105"/>
    <n v="3.3039999999999998"/>
    <n v="1"/>
    <n v="0.2"/>
    <n v="1.0738000000000001"/>
    <s v="Low"/>
  </r>
  <r>
    <n v="110"/>
    <s v="CA-2015-129476"/>
    <x v="52"/>
    <d v="2015-10-20T00:00:00"/>
    <s v="Standard Class"/>
    <s v="PA-19060"/>
    <s v="Pete Armstrong"/>
    <s v="Home Office"/>
    <s v="United States"/>
    <s v="Orland Park"/>
    <s v="Illinois"/>
    <n v="60462"/>
    <x v="2"/>
    <s v="TEC-AC-10000844"/>
    <x v="2"/>
    <s v="Accessories"/>
    <x v="106"/>
    <n v="339.96"/>
    <n v="5"/>
    <n v="0.2"/>
    <n v="67.992000000000004"/>
    <s v="Low"/>
  </r>
  <r>
    <n v="111"/>
    <s v="CA-2017-146780"/>
    <x v="53"/>
    <d v="2017-12-30T00:00:00"/>
    <s v="Standard Class"/>
    <s v="CV-12805"/>
    <s v="Cynthia Voltz"/>
    <s v="Corporate"/>
    <s v="United States"/>
    <s v="New York City"/>
    <s v="New York"/>
    <n v="10035"/>
    <x v="3"/>
    <s v="FUR-FU-10001934"/>
    <x v="0"/>
    <s v="Furnishings"/>
    <x v="107"/>
    <n v="41.96"/>
    <n v="2"/>
    <n v="0"/>
    <n v="10.909599999999999"/>
    <s v="Low"/>
  </r>
  <r>
    <n v="112"/>
    <s v="CA-2016-128867"/>
    <x v="54"/>
    <d v="2016-11-10T00:00:00"/>
    <s v="Standard Class"/>
    <s v="CL-12565"/>
    <s v="Clay Ludtke"/>
    <s v="Consumer"/>
    <s v="United States"/>
    <s v="Urbandale"/>
    <s v="Iowa"/>
    <n v="50322"/>
    <x v="2"/>
    <s v="OFF-AR-10000380"/>
    <x v="1"/>
    <s v="Art"/>
    <x v="108"/>
    <n v="75.959999999999994"/>
    <n v="2"/>
    <n v="0"/>
    <n v="22.788"/>
    <s v="Low"/>
  </r>
  <r>
    <n v="113"/>
    <s v="CA-2016-128867"/>
    <x v="54"/>
    <d v="2016-11-10T00:00:00"/>
    <s v="Standard Class"/>
    <s v="CL-12565"/>
    <s v="Clay Ludtke"/>
    <s v="Consumer"/>
    <s v="United States"/>
    <s v="Urbandale"/>
    <s v="Iowa"/>
    <n v="50322"/>
    <x v="2"/>
    <s v="OFF-BI-10003981"/>
    <x v="1"/>
    <s v="Binders"/>
    <x v="109"/>
    <n v="27.24"/>
    <n v="6"/>
    <n v="0"/>
    <n v="13.3476"/>
    <s v="Low"/>
  </r>
  <r>
    <n v="114"/>
    <s v="CA-2014-115259"/>
    <x v="55"/>
    <d v="2014-08-27T00:00:00"/>
    <s v="Second Class"/>
    <s v="RC-19960"/>
    <s v="Ryan Crowe"/>
    <s v="Consumer"/>
    <s v="United States"/>
    <s v="Columbus"/>
    <s v="Ohio"/>
    <n v="43229"/>
    <x v="3"/>
    <s v="OFF-FA-10000621"/>
    <x v="1"/>
    <s v="Fasteners"/>
    <x v="110"/>
    <n v="40.095999999999997"/>
    <n v="14"/>
    <n v="0.2"/>
    <n v="14.534800000000001"/>
    <s v="Low"/>
  </r>
  <r>
    <n v="115"/>
    <s v="CA-2014-115259"/>
    <x v="55"/>
    <d v="2014-08-27T00:00:00"/>
    <s v="Second Class"/>
    <s v="RC-19960"/>
    <s v="Ryan Crowe"/>
    <s v="Consumer"/>
    <s v="United States"/>
    <s v="Columbus"/>
    <s v="Ohio"/>
    <n v="43229"/>
    <x v="3"/>
    <s v="OFF-EN-10002600"/>
    <x v="1"/>
    <s v="Envelopes"/>
    <x v="111"/>
    <n v="4.72"/>
    <n v="2"/>
    <n v="0.2"/>
    <n v="1.6519999999999999"/>
    <s v="Low"/>
  </r>
  <r>
    <n v="116"/>
    <s v="CA-2014-115259"/>
    <x v="55"/>
    <d v="2014-08-27T00:00:00"/>
    <s v="Second Class"/>
    <s v="RC-19960"/>
    <s v="Ryan Crowe"/>
    <s v="Consumer"/>
    <s v="United States"/>
    <s v="Columbus"/>
    <s v="Ohio"/>
    <n v="43229"/>
    <x v="3"/>
    <s v="OFF-PA-10004965"/>
    <x v="1"/>
    <s v="Paper"/>
    <x v="112"/>
    <n v="23.975999999999999"/>
    <n v="3"/>
    <n v="0.2"/>
    <n v="7.4924999999999997"/>
    <s v="Low"/>
  </r>
  <r>
    <n v="117"/>
    <s v="CA-2014-115259"/>
    <x v="55"/>
    <d v="2014-08-27T00:00:00"/>
    <s v="Second Class"/>
    <s v="RC-19960"/>
    <s v="Ryan Crowe"/>
    <s v="Consumer"/>
    <s v="United States"/>
    <s v="Columbus"/>
    <s v="Ohio"/>
    <n v="43229"/>
    <x v="3"/>
    <s v="OFF-EN-10002504"/>
    <x v="1"/>
    <s v="Envelopes"/>
    <x v="113"/>
    <n v="130.464"/>
    <n v="6"/>
    <n v="0.2"/>
    <n v="44.031599999999997"/>
    <s v="Low"/>
  </r>
  <r>
    <n v="118"/>
    <s v="CA-2015-110457"/>
    <x v="56"/>
    <d v="2015-03-06T00:00:00"/>
    <s v="Standard Class"/>
    <s v="DK-13090"/>
    <s v="Dave Kipp"/>
    <s v="Consumer"/>
    <s v="United States"/>
    <s v="Seattle"/>
    <s v="Washington"/>
    <n v="98103"/>
    <x v="1"/>
    <s v="FUR-TA-10001768"/>
    <x v="0"/>
    <s v="Tables"/>
    <x v="114"/>
    <n v="787.53"/>
    <n v="3"/>
    <n v="0"/>
    <n v="165.38130000000001"/>
    <s v="High"/>
  </r>
  <r>
    <n v="119"/>
    <s v="US-2015-136476"/>
    <x v="57"/>
    <d v="2015-04-10T00:00:00"/>
    <s v="Standard Class"/>
    <s v="GG-14650"/>
    <s v="Greg Guthrie"/>
    <s v="Corporate"/>
    <s v="United States"/>
    <s v="Bristol"/>
    <s v="Tennessee"/>
    <n v="37620"/>
    <x v="0"/>
    <s v="OFF-BI-10003650"/>
    <x v="1"/>
    <s v="Binders"/>
    <x v="115"/>
    <n v="157.79400000000001"/>
    <n v="1"/>
    <n v="0.7"/>
    <n v="-115.71559999999999"/>
    <s v="Low"/>
  </r>
  <r>
    <n v="120"/>
    <s v="CA-2016-103730"/>
    <x v="1"/>
    <d v="2016-06-15T00:00:00"/>
    <s v="First Class"/>
    <s v="SC-20725"/>
    <s v="Steven Cartwright"/>
    <s v="Consumer"/>
    <s v="United States"/>
    <s v="Wilmington"/>
    <s v="Delaware"/>
    <n v="19805"/>
    <x v="3"/>
    <s v="FUR-FU-10002157"/>
    <x v="0"/>
    <s v="Furnishings"/>
    <x v="116"/>
    <n v="47.04"/>
    <n v="3"/>
    <n v="0"/>
    <n v="18.345600000000001"/>
    <s v="Low"/>
  </r>
  <r>
    <n v="121"/>
    <s v="CA-2016-103730"/>
    <x v="1"/>
    <d v="2016-06-15T00:00:00"/>
    <s v="First Class"/>
    <s v="SC-20725"/>
    <s v="Steven Cartwright"/>
    <s v="Consumer"/>
    <s v="United States"/>
    <s v="Wilmington"/>
    <s v="Delaware"/>
    <n v="19805"/>
    <x v="3"/>
    <s v="OFF-BI-10003910"/>
    <x v="1"/>
    <s v="Binders"/>
    <x v="8"/>
    <n v="30.84"/>
    <n v="4"/>
    <n v="0"/>
    <n v="13.878"/>
    <s v="Low"/>
  </r>
  <r>
    <n v="122"/>
    <s v="CA-2016-103730"/>
    <x v="1"/>
    <d v="2016-06-15T00:00:00"/>
    <s v="First Class"/>
    <s v="SC-20725"/>
    <s v="Steven Cartwright"/>
    <s v="Consumer"/>
    <s v="United States"/>
    <s v="Wilmington"/>
    <s v="Delaware"/>
    <n v="19805"/>
    <x v="3"/>
    <s v="OFF-ST-10000777"/>
    <x v="1"/>
    <s v="Storage"/>
    <x v="117"/>
    <n v="226.56"/>
    <n v="6"/>
    <n v="0"/>
    <n v="63.436799999999998"/>
    <s v="Low"/>
  </r>
  <r>
    <n v="123"/>
    <s v="CA-2016-103730"/>
    <x v="1"/>
    <d v="2016-06-15T00:00:00"/>
    <s v="First Class"/>
    <s v="SC-20725"/>
    <s v="Steven Cartwright"/>
    <s v="Consumer"/>
    <s v="United States"/>
    <s v="Wilmington"/>
    <s v="Delaware"/>
    <n v="19805"/>
    <x v="3"/>
    <s v="OFF-EN-10002500"/>
    <x v="1"/>
    <s v="Envelopes"/>
    <x v="118"/>
    <n v="115.02"/>
    <n v="9"/>
    <n v="0"/>
    <n v="51.759"/>
    <s v="Low"/>
  </r>
  <r>
    <n v="124"/>
    <s v="CA-2016-103730"/>
    <x v="1"/>
    <d v="2016-06-15T00:00:00"/>
    <s v="First Class"/>
    <s v="SC-20725"/>
    <s v="Steven Cartwright"/>
    <s v="Consumer"/>
    <s v="United States"/>
    <s v="Wilmington"/>
    <s v="Delaware"/>
    <n v="19805"/>
    <x v="3"/>
    <s v="TEC-PH-10003875"/>
    <x v="2"/>
    <s v="Phones"/>
    <x v="119"/>
    <n v="68.040000000000006"/>
    <n v="7"/>
    <n v="0"/>
    <n v="19.7316"/>
    <s v="Low"/>
  </r>
  <r>
    <n v="125"/>
    <s v="US-2014-152030"/>
    <x v="58"/>
    <d v="2014-12-28T00:00:00"/>
    <s v="Second Class"/>
    <s v="AD-10180"/>
    <s v="Alan Dominguez"/>
    <s v="Home Office"/>
    <s v="United States"/>
    <s v="Houston"/>
    <s v="Texas"/>
    <n v="77041"/>
    <x v="2"/>
    <s v="FUR-CH-10004063"/>
    <x v="0"/>
    <s v="Chairs"/>
    <x v="120"/>
    <n v="600.55799999999999"/>
    <n v="3"/>
    <n v="0.3"/>
    <n v="-8.5793999999999997"/>
    <s v="High"/>
  </r>
  <r>
    <n v="126"/>
    <s v="US-2014-134614"/>
    <x v="59"/>
    <d v="2014-09-25T00:00:00"/>
    <s v="Standard Class"/>
    <s v="PF-19165"/>
    <s v="Philip Fox"/>
    <s v="Consumer"/>
    <s v="United States"/>
    <s v="Bloomington"/>
    <s v="Illinois"/>
    <n v="61701"/>
    <x v="2"/>
    <s v="FUR-TA-10004534"/>
    <x v="0"/>
    <s v="Tables"/>
    <x v="121"/>
    <n v="617.70000000000005"/>
    <n v="6"/>
    <n v="0.5"/>
    <n v="-407.68200000000002"/>
    <s v="High"/>
  </r>
  <r>
    <n v="127"/>
    <s v="US-2017-107272"/>
    <x v="60"/>
    <d v="2017-11-12T00:00:00"/>
    <s v="Standard Class"/>
    <s v="TS-21610"/>
    <s v="Troy Staebel"/>
    <s v="Consumer"/>
    <s v="United States"/>
    <s v="Phoenix"/>
    <s v="Arizona"/>
    <n v="85023"/>
    <x v="1"/>
    <s v="OFF-BI-10003274"/>
    <x v="1"/>
    <s v="Binders"/>
    <x v="122"/>
    <n v="2.3879999999999999"/>
    <n v="2"/>
    <n v="0.7"/>
    <n v="-1.8308"/>
    <s v="Low"/>
  </r>
  <r>
    <n v="128"/>
    <s v="US-2017-107272"/>
    <x v="60"/>
    <d v="2017-11-12T00:00:00"/>
    <s v="Standard Class"/>
    <s v="TS-21610"/>
    <s v="Troy Staebel"/>
    <s v="Consumer"/>
    <s v="United States"/>
    <s v="Phoenix"/>
    <s v="Arizona"/>
    <n v="85023"/>
    <x v="1"/>
    <s v="OFF-ST-10002974"/>
    <x v="1"/>
    <s v="Storage"/>
    <x v="123"/>
    <n v="243.99199999999999"/>
    <n v="7"/>
    <n v="0.2"/>
    <n v="30.498999999999999"/>
    <s v="Low"/>
  </r>
  <r>
    <n v="129"/>
    <s v="US-2016-125969"/>
    <x v="61"/>
    <d v="2016-11-10T00:00:00"/>
    <s v="Second Class"/>
    <s v="LS-16975"/>
    <s v="Lindsay Shagiari"/>
    <s v="Home Office"/>
    <s v="United States"/>
    <s v="Los Angeles"/>
    <s v="California"/>
    <n v="90004"/>
    <x v="1"/>
    <s v="FUR-CH-10001146"/>
    <x v="0"/>
    <s v="Chairs"/>
    <x v="124"/>
    <n v="81.424000000000007"/>
    <n v="2"/>
    <n v="0.2"/>
    <n v="-9.1601999999999997"/>
    <s v="Low"/>
  </r>
  <r>
    <n v="130"/>
    <s v="US-2016-125969"/>
    <x v="61"/>
    <d v="2016-11-10T00:00:00"/>
    <s v="Second Class"/>
    <s v="LS-16975"/>
    <s v="Lindsay Shagiari"/>
    <s v="Home Office"/>
    <s v="United States"/>
    <s v="Los Angeles"/>
    <s v="California"/>
    <n v="90004"/>
    <x v="1"/>
    <s v="FUR-FU-10003773"/>
    <x v="0"/>
    <s v="Furnishings"/>
    <x v="125"/>
    <n v="238.56"/>
    <n v="3"/>
    <n v="0"/>
    <n v="26.241599999999998"/>
    <s v="Low"/>
  </r>
  <r>
    <n v="131"/>
    <s v="US-2017-164147"/>
    <x v="62"/>
    <d v="2017-02-05T00:00:00"/>
    <s v="First Class"/>
    <s v="DW-13585"/>
    <s v="Dorothy Wardle"/>
    <s v="Corporate"/>
    <s v="United States"/>
    <s v="Columbus"/>
    <s v="Ohio"/>
    <n v="43229"/>
    <x v="3"/>
    <s v="TEC-PH-10002293"/>
    <x v="2"/>
    <s v="Phones"/>
    <x v="126"/>
    <n v="59.97"/>
    <n v="5"/>
    <n v="0.4"/>
    <n v="-11.994"/>
    <s v="Low"/>
  </r>
  <r>
    <n v="132"/>
    <s v="US-2017-164147"/>
    <x v="62"/>
    <d v="2017-02-05T00:00:00"/>
    <s v="First Class"/>
    <s v="DW-13585"/>
    <s v="Dorothy Wardle"/>
    <s v="Corporate"/>
    <s v="United States"/>
    <s v="Columbus"/>
    <s v="Ohio"/>
    <n v="43229"/>
    <x v="3"/>
    <s v="OFF-PA-10002377"/>
    <x v="1"/>
    <s v="Paper"/>
    <x v="127"/>
    <n v="78.304000000000002"/>
    <n v="2"/>
    <n v="0.2"/>
    <n v="29.364000000000001"/>
    <s v="Low"/>
  </r>
  <r>
    <n v="133"/>
    <s v="US-2017-164147"/>
    <x v="62"/>
    <d v="2017-02-05T00:00:00"/>
    <s v="First Class"/>
    <s v="DW-13585"/>
    <s v="Dorothy Wardle"/>
    <s v="Corporate"/>
    <s v="United States"/>
    <s v="Columbus"/>
    <s v="Ohio"/>
    <n v="43229"/>
    <x v="3"/>
    <s v="OFF-FA-10002780"/>
    <x v="1"/>
    <s v="Fasteners"/>
    <x v="128"/>
    <n v="21.456"/>
    <n v="9"/>
    <n v="0.2"/>
    <n v="6.9732000000000003"/>
    <s v="Low"/>
  </r>
  <r>
    <n v="134"/>
    <s v="CA-2016-145583"/>
    <x v="63"/>
    <d v="2016-10-19T00:00:00"/>
    <s v="Standard Class"/>
    <s v="LC-16885"/>
    <s v="Lena Creighton"/>
    <s v="Consumer"/>
    <s v="United States"/>
    <s v="Roseville"/>
    <s v="California"/>
    <n v="95661"/>
    <x v="1"/>
    <s v="OFF-PA-10001804"/>
    <x v="1"/>
    <s v="Paper"/>
    <x v="129"/>
    <n v="20.04"/>
    <n v="3"/>
    <n v="0"/>
    <n v="9.6191999999999993"/>
    <s v="Low"/>
  </r>
  <r>
    <n v="135"/>
    <s v="CA-2016-145583"/>
    <x v="63"/>
    <d v="2016-10-19T00:00:00"/>
    <s v="Standard Class"/>
    <s v="LC-16885"/>
    <s v="Lena Creighton"/>
    <s v="Consumer"/>
    <s v="United States"/>
    <s v="Roseville"/>
    <s v="California"/>
    <n v="95661"/>
    <x v="1"/>
    <s v="OFF-PA-10001736"/>
    <x v="1"/>
    <s v="Paper"/>
    <x v="130"/>
    <n v="35.44"/>
    <n v="1"/>
    <n v="0"/>
    <n v="16.6568"/>
    <s v="Low"/>
  </r>
  <r>
    <n v="136"/>
    <s v="CA-2016-145583"/>
    <x v="63"/>
    <d v="2016-10-19T00:00:00"/>
    <s v="Standard Class"/>
    <s v="LC-16885"/>
    <s v="Lena Creighton"/>
    <s v="Consumer"/>
    <s v="United States"/>
    <s v="Roseville"/>
    <s v="California"/>
    <n v="95661"/>
    <x v="1"/>
    <s v="OFF-AR-10001149"/>
    <x v="1"/>
    <s v="Art"/>
    <x v="131"/>
    <n v="11.52"/>
    <n v="4"/>
    <n v="0"/>
    <n v="3.456"/>
    <s v="Low"/>
  </r>
  <r>
    <n v="137"/>
    <s v="CA-2016-145583"/>
    <x v="63"/>
    <d v="2016-10-19T00:00:00"/>
    <s v="Standard Class"/>
    <s v="LC-16885"/>
    <s v="Lena Creighton"/>
    <s v="Consumer"/>
    <s v="United States"/>
    <s v="Roseville"/>
    <s v="California"/>
    <n v="95661"/>
    <x v="1"/>
    <s v="OFF-FA-10002988"/>
    <x v="1"/>
    <s v="Fasteners"/>
    <x v="132"/>
    <n v="4.0199999999999996"/>
    <n v="2"/>
    <n v="0"/>
    <n v="1.9698"/>
    <s v="Low"/>
  </r>
  <r>
    <n v="138"/>
    <s v="CA-2016-145583"/>
    <x v="63"/>
    <d v="2016-10-19T00:00:00"/>
    <s v="Standard Class"/>
    <s v="LC-16885"/>
    <s v="Lena Creighton"/>
    <s v="Consumer"/>
    <s v="United States"/>
    <s v="Roseville"/>
    <s v="California"/>
    <n v="95661"/>
    <x v="1"/>
    <s v="OFF-BI-10004781"/>
    <x v="1"/>
    <s v="Binders"/>
    <x v="133"/>
    <n v="76.176000000000002"/>
    <n v="3"/>
    <n v="0.2"/>
    <n v="26.6616"/>
    <s v="Low"/>
  </r>
  <r>
    <n v="139"/>
    <s v="CA-2016-145583"/>
    <x v="63"/>
    <d v="2016-10-19T00:00:00"/>
    <s v="Standard Class"/>
    <s v="LC-16885"/>
    <s v="Lena Creighton"/>
    <s v="Consumer"/>
    <s v="United States"/>
    <s v="Roseville"/>
    <s v="California"/>
    <n v="95661"/>
    <x v="1"/>
    <s v="OFF-SU-10001218"/>
    <x v="1"/>
    <s v="Supplies"/>
    <x v="134"/>
    <n v="65.88"/>
    <n v="6"/>
    <n v="0"/>
    <n v="18.446400000000001"/>
    <s v="Low"/>
  </r>
  <r>
    <n v="140"/>
    <s v="CA-2016-145583"/>
    <x v="63"/>
    <d v="2016-10-19T00:00:00"/>
    <s v="Standard Class"/>
    <s v="LC-16885"/>
    <s v="Lena Creighton"/>
    <s v="Consumer"/>
    <s v="United States"/>
    <s v="Roseville"/>
    <s v="California"/>
    <n v="95661"/>
    <x v="1"/>
    <s v="FUR-FU-10001706"/>
    <x v="0"/>
    <s v="Furnishings"/>
    <x v="50"/>
    <n v="43.12"/>
    <n v="14"/>
    <n v="0"/>
    <n v="20.697600000000001"/>
    <s v="Low"/>
  </r>
  <r>
    <n v="141"/>
    <s v="CA-2016-110366"/>
    <x v="64"/>
    <d v="2016-09-07T00:00:00"/>
    <s v="Second Class"/>
    <s v="JD-15895"/>
    <s v="Jonathan Doherty"/>
    <s v="Corporate"/>
    <s v="United States"/>
    <s v="Philadelphia"/>
    <s v="Pennsylvania"/>
    <n v="19140"/>
    <x v="3"/>
    <s v="FUR-FU-10004848"/>
    <x v="0"/>
    <s v="Furnishings"/>
    <x v="28"/>
    <n v="82.8"/>
    <n v="2"/>
    <n v="0.2"/>
    <n v="10.35"/>
    <s v="Low"/>
  </r>
  <r>
    <n v="142"/>
    <s v="CA-2017-106180"/>
    <x v="65"/>
    <d v="2017-09-23T00:00:00"/>
    <s v="Standard Class"/>
    <s v="SH-19975"/>
    <s v="Sally Hughsby"/>
    <s v="Corporate"/>
    <s v="United States"/>
    <s v="San Francisco"/>
    <s v="California"/>
    <n v="94122"/>
    <x v="1"/>
    <s v="OFF-AR-10000940"/>
    <x v="1"/>
    <s v="Art"/>
    <x v="135"/>
    <n v="8.82"/>
    <n v="3"/>
    <n v="0"/>
    <n v="2.3814000000000002"/>
    <s v="Low"/>
  </r>
  <r>
    <n v="143"/>
    <s v="CA-2017-106180"/>
    <x v="65"/>
    <d v="2017-09-23T00:00:00"/>
    <s v="Standard Class"/>
    <s v="SH-19975"/>
    <s v="Sally Hughsby"/>
    <s v="Corporate"/>
    <s v="United States"/>
    <s v="San Francisco"/>
    <s v="California"/>
    <n v="94122"/>
    <x v="1"/>
    <s v="OFF-EN-10004030"/>
    <x v="1"/>
    <s v="Envelopes"/>
    <x v="136"/>
    <n v="10.86"/>
    <n v="3"/>
    <n v="0"/>
    <n v="5.1041999999999996"/>
    <s v="Low"/>
  </r>
  <r>
    <n v="144"/>
    <s v="CA-2017-106180"/>
    <x v="65"/>
    <d v="2017-09-23T00:00:00"/>
    <s v="Standard Class"/>
    <s v="SH-19975"/>
    <s v="Sally Hughsby"/>
    <s v="Corporate"/>
    <s v="United States"/>
    <s v="San Francisco"/>
    <s v="California"/>
    <n v="94122"/>
    <x v="1"/>
    <s v="OFF-PA-10004327"/>
    <x v="1"/>
    <s v="Paper"/>
    <x v="137"/>
    <n v="143.69999999999999"/>
    <n v="3"/>
    <n v="0"/>
    <n v="68.975999999999999"/>
    <s v="Low"/>
  </r>
  <r>
    <n v="145"/>
    <s v="CA-2017-155376"/>
    <x v="66"/>
    <d v="2017-12-27T00:00:00"/>
    <s v="Standard Class"/>
    <s v="SG-20080"/>
    <s v="Sandra Glassco"/>
    <s v="Consumer"/>
    <s v="United States"/>
    <s v="Independence"/>
    <s v="Missouri"/>
    <n v="64055"/>
    <x v="2"/>
    <s v="OFF-AP-10001058"/>
    <x v="1"/>
    <s v="Appliances"/>
    <x v="138"/>
    <n v="839.43"/>
    <n v="3"/>
    <n v="0"/>
    <n v="218.2518"/>
    <s v="High"/>
  </r>
  <r>
    <n v="146"/>
    <s v="CA-2015-110744"/>
    <x v="67"/>
    <d v="2015-09-12T00:00:00"/>
    <s v="Standard Class"/>
    <s v="HA-14920"/>
    <s v="Helen Andreada"/>
    <s v="Consumer"/>
    <s v="United States"/>
    <s v="Pasadena"/>
    <s v="California"/>
    <n v="91104"/>
    <x v="1"/>
    <s v="OFF-ST-10003656"/>
    <x v="1"/>
    <s v="Storage"/>
    <x v="82"/>
    <n v="671.93"/>
    <n v="7"/>
    <n v="0"/>
    <n v="20.157900000000001"/>
    <s v="High"/>
  </r>
  <r>
    <n v="147"/>
    <s v="CA-2014-110072"/>
    <x v="68"/>
    <d v="2014-10-28T00:00:00"/>
    <s v="Standard Class"/>
    <s v="MG-17680"/>
    <s v="Maureen Gastineau"/>
    <s v="Home Office"/>
    <s v="United States"/>
    <s v="Newark"/>
    <s v="Ohio"/>
    <n v="43055"/>
    <x v="3"/>
    <s v="FUR-FU-10000521"/>
    <x v="0"/>
    <s v="Furnishings"/>
    <x v="139"/>
    <n v="93.888000000000005"/>
    <n v="4"/>
    <n v="0.2"/>
    <n v="12.909599999999999"/>
    <s v="Low"/>
  </r>
  <r>
    <n v="148"/>
    <s v="CA-2016-114489"/>
    <x v="5"/>
    <d v="2016-12-09T00:00:00"/>
    <s v="Standard Class"/>
    <s v="JE-16165"/>
    <s v="Justin Ellison"/>
    <s v="Corporate"/>
    <s v="United States"/>
    <s v="Franklin"/>
    <s v="Wisconsin"/>
    <n v="53132"/>
    <x v="2"/>
    <s v="TEC-PH-10000215"/>
    <x v="2"/>
    <s v="Phones"/>
    <x v="140"/>
    <n v="384.45"/>
    <n v="11"/>
    <n v="0"/>
    <n v="103.8015"/>
    <s v="Low"/>
  </r>
  <r>
    <n v="149"/>
    <s v="CA-2016-114489"/>
    <x v="5"/>
    <d v="2016-12-09T00:00:00"/>
    <s v="Standard Class"/>
    <s v="JE-16165"/>
    <s v="Justin Ellison"/>
    <s v="Corporate"/>
    <s v="United States"/>
    <s v="Franklin"/>
    <s v="Wisconsin"/>
    <n v="53132"/>
    <x v="2"/>
    <s v="TEC-PH-10001448"/>
    <x v="2"/>
    <s v="Phones"/>
    <x v="141"/>
    <n v="149.97"/>
    <n v="3"/>
    <n v="0"/>
    <n v="5.9988000000000001"/>
    <s v="Low"/>
  </r>
  <r>
    <n v="150"/>
    <s v="CA-2016-114489"/>
    <x v="5"/>
    <d v="2016-12-09T00:00:00"/>
    <s v="Standard Class"/>
    <s v="JE-16165"/>
    <s v="Justin Ellison"/>
    <s v="Corporate"/>
    <s v="United States"/>
    <s v="Franklin"/>
    <s v="Wisconsin"/>
    <n v="53132"/>
    <x v="2"/>
    <s v="FUR-CH-10000454"/>
    <x v="0"/>
    <s v="Chairs"/>
    <x v="1"/>
    <n v="1951.84"/>
    <n v="8"/>
    <n v="0"/>
    <n v="585.55200000000002"/>
    <s v="High"/>
  </r>
  <r>
    <n v="151"/>
    <s v="CA-2016-114489"/>
    <x v="5"/>
    <d v="2016-12-09T00:00:00"/>
    <s v="Standard Class"/>
    <s v="JE-16165"/>
    <s v="Justin Ellison"/>
    <s v="Corporate"/>
    <s v="United States"/>
    <s v="Franklin"/>
    <s v="Wisconsin"/>
    <n v="53132"/>
    <x v="2"/>
    <s v="OFF-BI-10002735"/>
    <x v="1"/>
    <s v="Binders"/>
    <x v="142"/>
    <n v="171.55"/>
    <n v="5"/>
    <n v="0"/>
    <n v="80.628500000000003"/>
    <s v="Low"/>
  </r>
  <r>
    <n v="152"/>
    <s v="CA-2016-158834"/>
    <x v="69"/>
    <d v="2016-03-16T00:00:00"/>
    <s v="First Class"/>
    <s v="TW-21025"/>
    <s v="Tamara Willingham"/>
    <s v="Home Office"/>
    <s v="United States"/>
    <s v="Scottsdale"/>
    <s v="Arizona"/>
    <n v="85254"/>
    <x v="1"/>
    <s v="OFF-AP-10000326"/>
    <x v="1"/>
    <s v="Appliances"/>
    <x v="143"/>
    <n v="157.91999999999999"/>
    <n v="5"/>
    <n v="0.2"/>
    <n v="17.765999999999998"/>
    <s v="Low"/>
  </r>
  <r>
    <n v="153"/>
    <s v="CA-2016-158834"/>
    <x v="69"/>
    <d v="2016-03-16T00:00:00"/>
    <s v="First Class"/>
    <s v="TW-21025"/>
    <s v="Tamara Willingham"/>
    <s v="Home Office"/>
    <s v="United States"/>
    <s v="Scottsdale"/>
    <s v="Arizona"/>
    <n v="85254"/>
    <x v="1"/>
    <s v="TEC-PH-10001254"/>
    <x v="2"/>
    <s v="Phones"/>
    <x v="144"/>
    <n v="203.184"/>
    <n v="2"/>
    <n v="0.2"/>
    <n v="15.238799999999999"/>
    <s v="Low"/>
  </r>
  <r>
    <n v="154"/>
    <s v="CA-2015-124919"/>
    <x v="70"/>
    <d v="2015-06-02T00:00:00"/>
    <s v="First Class"/>
    <s v="SP-20650"/>
    <s v="Stephanie Phelps"/>
    <s v="Corporate"/>
    <s v="United States"/>
    <s v="San Jose"/>
    <s v="California"/>
    <n v="95123"/>
    <x v="1"/>
    <s v="OFF-PA-10001950"/>
    <x v="1"/>
    <s v="Paper"/>
    <x v="145"/>
    <n v="58.38"/>
    <n v="7"/>
    <n v="0"/>
    <n v="26.271000000000001"/>
    <s v="Low"/>
  </r>
  <r>
    <n v="155"/>
    <s v="CA-2015-124919"/>
    <x v="70"/>
    <d v="2015-06-02T00:00:00"/>
    <s v="First Class"/>
    <s v="SP-20650"/>
    <s v="Stephanie Phelps"/>
    <s v="Corporate"/>
    <s v="United States"/>
    <s v="San Jose"/>
    <s v="California"/>
    <n v="95123"/>
    <x v="1"/>
    <s v="OFF-PA-10002254"/>
    <x v="1"/>
    <s v="Paper"/>
    <x v="146"/>
    <n v="105.52"/>
    <n v="4"/>
    <n v="0"/>
    <n v="48.539200000000001"/>
    <s v="Low"/>
  </r>
  <r>
    <n v="156"/>
    <s v="CA-2015-124919"/>
    <x v="70"/>
    <d v="2015-06-02T00:00:00"/>
    <s v="First Class"/>
    <s v="SP-20650"/>
    <s v="Stephanie Phelps"/>
    <s v="Corporate"/>
    <s v="United States"/>
    <s v="San Jose"/>
    <s v="California"/>
    <n v="95123"/>
    <x v="1"/>
    <s v="OFF-ST-10001590"/>
    <x v="1"/>
    <s v="Storage"/>
    <x v="147"/>
    <n v="80.88"/>
    <n v="6"/>
    <n v="0"/>
    <n v="21.0288"/>
    <s v="Low"/>
  </r>
  <r>
    <n v="157"/>
    <s v="CA-2015-118948"/>
    <x v="71"/>
    <d v="2015-06-03T00:00:00"/>
    <s v="Standard Class"/>
    <s v="NK-18490"/>
    <s v="Neil Knudson"/>
    <s v="Home Office"/>
    <s v="United States"/>
    <s v="Seattle"/>
    <s v="Washington"/>
    <n v="98105"/>
    <x v="1"/>
    <s v="OFF-AR-10001547"/>
    <x v="1"/>
    <s v="Art"/>
    <x v="148"/>
    <n v="6.63"/>
    <n v="3"/>
    <n v="0"/>
    <n v="1.7901"/>
    <s v="Low"/>
  </r>
  <r>
    <n v="158"/>
    <s v="CA-2014-104269"/>
    <x v="72"/>
    <d v="2014-03-06T00:00:00"/>
    <s v="Second Class"/>
    <s v="DB-13060"/>
    <s v="Dave Brooks"/>
    <s v="Consumer"/>
    <s v="United States"/>
    <s v="Seattle"/>
    <s v="Washington"/>
    <n v="98115"/>
    <x v="1"/>
    <s v="FUR-CH-10004063"/>
    <x v="0"/>
    <s v="Chairs"/>
    <x v="120"/>
    <n v="457.56799999999998"/>
    <n v="2"/>
    <n v="0.2"/>
    <n v="51.476399999999998"/>
    <s v="Low"/>
  </r>
  <r>
    <n v="159"/>
    <s v="CA-2016-114104"/>
    <x v="73"/>
    <d v="2016-11-24T00:00:00"/>
    <s v="Standard Class"/>
    <s v="NP-18670"/>
    <s v="Nora Paige"/>
    <s v="Consumer"/>
    <s v="United States"/>
    <s v="Edmond"/>
    <s v="Oklahoma"/>
    <n v="73034"/>
    <x v="2"/>
    <s v="OFF-LA-10002475"/>
    <x v="1"/>
    <s v="Labels"/>
    <x v="149"/>
    <n v="14.62"/>
    <n v="2"/>
    <n v="0"/>
    <n v="6.8714000000000004"/>
    <s v="Low"/>
  </r>
  <r>
    <n v="160"/>
    <s v="CA-2016-114104"/>
    <x v="73"/>
    <d v="2016-11-24T00:00:00"/>
    <s v="Standard Class"/>
    <s v="NP-18670"/>
    <s v="Nora Paige"/>
    <s v="Consumer"/>
    <s v="United States"/>
    <s v="Edmond"/>
    <s v="Oklahoma"/>
    <n v="73034"/>
    <x v="2"/>
    <s v="TEC-PH-10004536"/>
    <x v="2"/>
    <s v="Phones"/>
    <x v="150"/>
    <n v="944.93"/>
    <n v="7"/>
    <n v="0"/>
    <n v="236.23249999999999"/>
    <s v="High"/>
  </r>
  <r>
    <n v="161"/>
    <s v="CA-2016-162733"/>
    <x v="74"/>
    <d v="2016-05-12T00:00:00"/>
    <s v="First Class"/>
    <s v="TT-21070"/>
    <s v="Ted Trevino"/>
    <s v="Consumer"/>
    <s v="United States"/>
    <s v="Los Angeles"/>
    <s v="California"/>
    <n v="90045"/>
    <x v="1"/>
    <s v="OFF-PA-10002751"/>
    <x v="1"/>
    <s v="Paper"/>
    <x v="151"/>
    <n v="5.98"/>
    <n v="1"/>
    <n v="0"/>
    <n v="2.6909999999999998"/>
    <s v="Low"/>
  </r>
  <r>
    <n v="162"/>
    <s v="CA-2015-119697"/>
    <x v="75"/>
    <d v="2015-12-31T00:00:00"/>
    <s v="Second Class"/>
    <s v="EM-13960"/>
    <s v="Eric Murdock"/>
    <s v="Consumer"/>
    <s v="United States"/>
    <s v="Philadelphia"/>
    <s v="Pennsylvania"/>
    <n v="19134"/>
    <x v="3"/>
    <s v="TEC-AC-10003657"/>
    <x v="2"/>
    <s v="Accessories"/>
    <x v="152"/>
    <n v="54.384"/>
    <n v="2"/>
    <n v="0.2"/>
    <n v="1.3595999999999999"/>
    <s v="Low"/>
  </r>
  <r>
    <n v="163"/>
    <s v="CA-2016-154508"/>
    <x v="76"/>
    <d v="2016-11-20T00:00:00"/>
    <s v="Standard Class"/>
    <s v="RD-19900"/>
    <s v="Ruben Dartt"/>
    <s v="Consumer"/>
    <s v="United States"/>
    <s v="Carlsbad"/>
    <s v="New Mexico"/>
    <n v="88220"/>
    <x v="1"/>
    <s v="OFF-EN-10001990"/>
    <x v="1"/>
    <s v="Envelopes"/>
    <x v="153"/>
    <n v="28.4"/>
    <n v="5"/>
    <n v="0"/>
    <n v="13.348000000000001"/>
    <s v="Low"/>
  </r>
  <r>
    <n v="164"/>
    <s v="CA-2016-113817"/>
    <x v="77"/>
    <d v="2016-11-11T00:00:00"/>
    <s v="Standard Class"/>
    <s v="MJ-17740"/>
    <s v="Max Jones"/>
    <s v="Consumer"/>
    <s v="United States"/>
    <s v="Seattle"/>
    <s v="Washington"/>
    <n v="98115"/>
    <x v="1"/>
    <s v="OFF-BI-10004002"/>
    <x v="1"/>
    <s v="Binders"/>
    <x v="154"/>
    <n v="27.68"/>
    <n v="2"/>
    <n v="0.2"/>
    <n v="9.6880000000000006"/>
    <s v="Low"/>
  </r>
  <r>
    <n v="165"/>
    <s v="CA-2014-139892"/>
    <x v="78"/>
    <d v="2014-09-12T00:00:00"/>
    <s v="Standard Class"/>
    <s v="BM-11140"/>
    <s v="Becky Martin"/>
    <s v="Consumer"/>
    <s v="United States"/>
    <s v="San Antonio"/>
    <s v="Texas"/>
    <n v="78207"/>
    <x v="2"/>
    <s v="OFF-AR-10004441"/>
    <x v="1"/>
    <s v="Art"/>
    <x v="155"/>
    <n v="9.9359999999999999"/>
    <n v="3"/>
    <n v="0.2"/>
    <n v="2.7324000000000002"/>
    <s v="Low"/>
  </r>
  <r>
    <n v="166"/>
    <s v="CA-2014-139892"/>
    <x v="78"/>
    <d v="2014-09-12T00:00:00"/>
    <s v="Standard Class"/>
    <s v="BM-11140"/>
    <s v="Becky Martin"/>
    <s v="Consumer"/>
    <s v="United States"/>
    <s v="San Antonio"/>
    <s v="Texas"/>
    <n v="78207"/>
    <x v="2"/>
    <s v="TEC-MA-10000822"/>
    <x v="2"/>
    <s v="Machines"/>
    <x v="156"/>
    <n v="8159.9520000000002"/>
    <n v="8"/>
    <n v="0.4"/>
    <n v="-1359.992"/>
    <s v="High"/>
  </r>
  <r>
    <n v="167"/>
    <s v="CA-2014-139892"/>
    <x v="78"/>
    <d v="2014-09-12T00:00:00"/>
    <s v="Standard Class"/>
    <s v="BM-11140"/>
    <s v="Becky Martin"/>
    <s v="Consumer"/>
    <s v="United States"/>
    <s v="San Antonio"/>
    <s v="Texas"/>
    <n v="78207"/>
    <x v="2"/>
    <s v="OFF-ST-10000991"/>
    <x v="1"/>
    <s v="Storage"/>
    <x v="157"/>
    <n v="275.928"/>
    <n v="3"/>
    <n v="0.2"/>
    <n v="-58.634700000000002"/>
    <s v="Low"/>
  </r>
  <r>
    <n v="168"/>
    <s v="CA-2014-139892"/>
    <x v="78"/>
    <d v="2014-09-12T00:00:00"/>
    <s v="Standard Class"/>
    <s v="BM-11140"/>
    <s v="Becky Martin"/>
    <s v="Consumer"/>
    <s v="United States"/>
    <s v="San Antonio"/>
    <s v="Texas"/>
    <n v="78207"/>
    <x v="2"/>
    <s v="FUR-CH-10004287"/>
    <x v="0"/>
    <s v="Chairs"/>
    <x v="158"/>
    <n v="1740.06"/>
    <n v="9"/>
    <n v="0.3"/>
    <n v="-24.858000000000001"/>
    <s v="High"/>
  </r>
  <r>
    <n v="169"/>
    <s v="CA-2014-139892"/>
    <x v="78"/>
    <d v="2014-09-12T00:00:00"/>
    <s v="Standard Class"/>
    <s v="BM-11140"/>
    <s v="Becky Martin"/>
    <s v="Consumer"/>
    <s v="United States"/>
    <s v="San Antonio"/>
    <s v="Texas"/>
    <n v="78207"/>
    <x v="2"/>
    <s v="OFF-AR-10002656"/>
    <x v="1"/>
    <s v="Art"/>
    <x v="159"/>
    <n v="32.064"/>
    <n v="6"/>
    <n v="0.2"/>
    <n v="6.8136000000000001"/>
    <s v="Low"/>
  </r>
  <r>
    <n v="170"/>
    <s v="CA-2014-139892"/>
    <x v="78"/>
    <d v="2014-09-12T00:00:00"/>
    <s v="Standard Class"/>
    <s v="BM-11140"/>
    <s v="Becky Martin"/>
    <s v="Consumer"/>
    <s v="United States"/>
    <s v="San Antonio"/>
    <s v="Texas"/>
    <n v="78207"/>
    <x v="2"/>
    <s v="OFF-AP-10002518"/>
    <x v="1"/>
    <s v="Appliances"/>
    <x v="160"/>
    <n v="177.98"/>
    <n v="5"/>
    <n v="0.8"/>
    <n v="-453.84899999999999"/>
    <s v="Low"/>
  </r>
  <r>
    <n v="171"/>
    <s v="CA-2014-139892"/>
    <x v="78"/>
    <d v="2014-09-12T00:00:00"/>
    <s v="Standard Class"/>
    <s v="BM-11140"/>
    <s v="Becky Martin"/>
    <s v="Consumer"/>
    <s v="United States"/>
    <s v="San Antonio"/>
    <s v="Texas"/>
    <n v="78207"/>
    <x v="2"/>
    <s v="TEC-PH-10003931"/>
    <x v="2"/>
    <s v="Phones"/>
    <x v="161"/>
    <n v="143.976"/>
    <n v="3"/>
    <n v="0.2"/>
    <n v="8.9984999999999999"/>
    <s v="Low"/>
  </r>
  <r>
    <n v="172"/>
    <s v="CA-2014-118962"/>
    <x v="79"/>
    <d v="2014-08-09T00:00:00"/>
    <s v="Standard Class"/>
    <s v="CS-12130"/>
    <s v="Chad Sievert"/>
    <s v="Consumer"/>
    <s v="United States"/>
    <s v="Los Angeles"/>
    <s v="California"/>
    <n v="90004"/>
    <x v="1"/>
    <s v="OFF-PA-10000659"/>
    <x v="1"/>
    <s v="Paper"/>
    <x v="162"/>
    <n v="20.94"/>
    <n v="3"/>
    <n v="0"/>
    <n v="9.8417999999999992"/>
    <s v="Low"/>
  </r>
  <r>
    <n v="173"/>
    <s v="CA-2014-118962"/>
    <x v="79"/>
    <d v="2014-08-09T00:00:00"/>
    <s v="Standard Class"/>
    <s v="CS-12130"/>
    <s v="Chad Sievert"/>
    <s v="Consumer"/>
    <s v="United States"/>
    <s v="Los Angeles"/>
    <s v="California"/>
    <n v="90004"/>
    <x v="1"/>
    <s v="OFF-PA-10001144"/>
    <x v="1"/>
    <s v="Paper"/>
    <x v="163"/>
    <n v="110.96"/>
    <n v="2"/>
    <n v="0"/>
    <n v="53.260800000000003"/>
    <s v="Low"/>
  </r>
  <r>
    <n v="174"/>
    <s v="CA-2014-118962"/>
    <x v="79"/>
    <d v="2014-08-09T00:00:00"/>
    <s v="Standard Class"/>
    <s v="CS-12130"/>
    <s v="Chad Sievert"/>
    <s v="Consumer"/>
    <s v="United States"/>
    <s v="Los Angeles"/>
    <s v="California"/>
    <n v="90004"/>
    <x v="1"/>
    <s v="FUR-CH-10003817"/>
    <x v="0"/>
    <s v="Chairs"/>
    <x v="164"/>
    <n v="340.14400000000001"/>
    <n v="7"/>
    <n v="0.2"/>
    <n v="21.259"/>
    <s v="Low"/>
  </r>
  <r>
    <n v="175"/>
    <s v="US-2014-100853"/>
    <x v="80"/>
    <d v="2014-09-19T00:00:00"/>
    <s v="Standard Class"/>
    <s v="JB-15400"/>
    <s v="Jennifer Braxton"/>
    <s v="Corporate"/>
    <s v="United States"/>
    <s v="Chicago"/>
    <s v="Illinois"/>
    <n v="60623"/>
    <x v="2"/>
    <s v="OFF-AP-10000891"/>
    <x v="1"/>
    <s v="Appliances"/>
    <x v="165"/>
    <n v="52.448"/>
    <n v="2"/>
    <n v="0.8"/>
    <n v="-131.12"/>
    <s v="Low"/>
  </r>
  <r>
    <n v="176"/>
    <s v="US-2014-100853"/>
    <x v="80"/>
    <d v="2014-09-19T00:00:00"/>
    <s v="Standard Class"/>
    <s v="JB-15400"/>
    <s v="Jennifer Braxton"/>
    <s v="Corporate"/>
    <s v="United States"/>
    <s v="Chicago"/>
    <s v="Illinois"/>
    <n v="60623"/>
    <x v="2"/>
    <s v="OFF-LA-10003148"/>
    <x v="1"/>
    <s v="Labels"/>
    <x v="166"/>
    <n v="20.16"/>
    <n v="4"/>
    <n v="0.2"/>
    <n v="6.5519999999999996"/>
    <s v="Low"/>
  </r>
  <r>
    <n v="177"/>
    <s v="US-2017-152366"/>
    <x v="81"/>
    <d v="2017-04-25T00:00:00"/>
    <s v="Second Class"/>
    <s v="SJ-20500"/>
    <s v="Shirley Jackson"/>
    <s v="Consumer"/>
    <s v="United States"/>
    <s v="Houston"/>
    <s v="Texas"/>
    <n v="77036"/>
    <x v="2"/>
    <s v="OFF-AP-10002684"/>
    <x v="1"/>
    <s v="Appliances"/>
    <x v="167"/>
    <n v="97.263999999999996"/>
    <n v="4"/>
    <n v="0.8"/>
    <n v="-243.16"/>
    <s v="Low"/>
  </r>
  <r>
    <n v="178"/>
    <s v="US-2015-101511"/>
    <x v="82"/>
    <d v="2015-11-23T00:00:00"/>
    <s v="Second Class"/>
    <s v="JE-15745"/>
    <s v="Joel Eaton"/>
    <s v="Consumer"/>
    <s v="United States"/>
    <s v="Newark"/>
    <s v="Ohio"/>
    <n v="43055"/>
    <x v="3"/>
    <s v="FUR-CH-10004698"/>
    <x v="0"/>
    <s v="Chairs"/>
    <x v="168"/>
    <n v="396.80200000000002"/>
    <n v="7"/>
    <n v="0.3"/>
    <n v="-11.337199999999999"/>
    <s v="Low"/>
  </r>
  <r>
    <n v="179"/>
    <s v="US-2015-101511"/>
    <x v="82"/>
    <d v="2015-11-23T00:00:00"/>
    <s v="Second Class"/>
    <s v="JE-15745"/>
    <s v="Joel Eaton"/>
    <s v="Consumer"/>
    <s v="United States"/>
    <s v="Newark"/>
    <s v="Ohio"/>
    <n v="43055"/>
    <x v="3"/>
    <s v="OFF-SU-10002189"/>
    <x v="1"/>
    <s v="Supplies"/>
    <x v="169"/>
    <n v="15.88"/>
    <n v="5"/>
    <n v="0.2"/>
    <n v="-3.7715000000000001"/>
    <s v="Low"/>
  </r>
  <r>
    <n v="180"/>
    <s v="CA-2015-137225"/>
    <x v="83"/>
    <d v="2015-12-19T00:00:00"/>
    <s v="Standard Class"/>
    <s v="JK-15640"/>
    <s v="Jim Kriz"/>
    <s v="Home Office"/>
    <s v="United States"/>
    <s v="New York City"/>
    <s v="New York"/>
    <n v="10009"/>
    <x v="3"/>
    <s v="OFF-AR-10001940"/>
    <x v="1"/>
    <s v="Art"/>
    <x v="170"/>
    <n v="3.28"/>
    <n v="1"/>
    <n v="0"/>
    <n v="1.4104000000000001"/>
    <s v="Low"/>
  </r>
  <r>
    <n v="181"/>
    <s v="CA-2014-166191"/>
    <x v="29"/>
    <d v="2014-12-09T00:00:00"/>
    <s v="Second Class"/>
    <s v="DK-13150"/>
    <s v="David Kendrick"/>
    <s v="Corporate"/>
    <s v="United States"/>
    <s v="Decatur"/>
    <s v="Illinois"/>
    <n v="62521"/>
    <x v="2"/>
    <s v="OFF-ST-10003455"/>
    <x v="1"/>
    <s v="Storage"/>
    <x v="171"/>
    <n v="24.815999999999999"/>
    <n v="2"/>
    <n v="0.2"/>
    <n v="1.8612"/>
    <s v="Low"/>
  </r>
  <r>
    <n v="182"/>
    <s v="CA-2014-166191"/>
    <x v="29"/>
    <d v="2014-12-09T00:00:00"/>
    <s v="Second Class"/>
    <s v="DK-13150"/>
    <s v="David Kendrick"/>
    <s v="Corporate"/>
    <s v="United States"/>
    <s v="Decatur"/>
    <s v="Illinois"/>
    <n v="62521"/>
    <x v="2"/>
    <s v="TEC-AC-10004659"/>
    <x v="2"/>
    <s v="Accessories"/>
    <x v="172"/>
    <n v="408.74400000000003"/>
    <n v="7"/>
    <n v="0.2"/>
    <n v="76.639499999999998"/>
    <s v="Low"/>
  </r>
  <r>
    <n v="183"/>
    <s v="CA-2014-158274"/>
    <x v="84"/>
    <d v="2014-11-24T00:00:00"/>
    <s v="Second Class"/>
    <s v="RM-19675"/>
    <s v="Robert Marley"/>
    <s v="Home Office"/>
    <s v="United States"/>
    <s v="Monroe"/>
    <s v="Louisiana"/>
    <n v="71203"/>
    <x v="0"/>
    <s v="TEC-PH-10003273"/>
    <x v="2"/>
    <s v="Phones"/>
    <x v="173"/>
    <n v="503.96"/>
    <n v="4"/>
    <n v="0"/>
    <n v="131.02959999999999"/>
    <s v="High"/>
  </r>
  <r>
    <n v="184"/>
    <s v="CA-2014-158274"/>
    <x v="84"/>
    <d v="2014-11-24T00:00:00"/>
    <s v="Second Class"/>
    <s v="RM-19675"/>
    <s v="Robert Marley"/>
    <s v="Home Office"/>
    <s v="United States"/>
    <s v="Monroe"/>
    <s v="Louisiana"/>
    <n v="71203"/>
    <x v="0"/>
    <s v="TEC-PH-10004896"/>
    <x v="2"/>
    <s v="Phones"/>
    <x v="174"/>
    <n v="149.94999999999999"/>
    <n v="5"/>
    <n v="0"/>
    <n v="41.985999999999997"/>
    <s v="Low"/>
  </r>
  <r>
    <n v="185"/>
    <s v="CA-2014-158274"/>
    <x v="84"/>
    <d v="2014-11-24T00:00:00"/>
    <s v="Second Class"/>
    <s v="RM-19675"/>
    <s v="Robert Marley"/>
    <s v="Home Office"/>
    <s v="United States"/>
    <s v="Monroe"/>
    <s v="Louisiana"/>
    <n v="71203"/>
    <x v="0"/>
    <s v="TEC-AC-10002345"/>
    <x v="2"/>
    <s v="Accessories"/>
    <x v="175"/>
    <n v="29"/>
    <n v="2"/>
    <n v="0"/>
    <n v="7.25"/>
    <s v="Low"/>
  </r>
  <r>
    <n v="186"/>
    <s v="CA-2016-105018"/>
    <x v="85"/>
    <d v="2016-12-02T00:00:00"/>
    <s v="Standard Class"/>
    <s v="SK-19990"/>
    <s v="Sally Knutson"/>
    <s v="Consumer"/>
    <s v="United States"/>
    <s v="Fairfield"/>
    <s v="Connecticut"/>
    <n v="6824"/>
    <x v="3"/>
    <s v="OFF-BI-10001890"/>
    <x v="1"/>
    <s v="Binders"/>
    <x v="176"/>
    <n v="7.16"/>
    <n v="2"/>
    <n v="0"/>
    <n v="3.4367999999999999"/>
    <s v="Low"/>
  </r>
  <r>
    <n v="187"/>
    <s v="CA-2014-123260"/>
    <x v="86"/>
    <d v="2014-08-30T00:00:00"/>
    <s v="Standard Class"/>
    <s v="FM-14290"/>
    <s v="Frank Merwin"/>
    <s v="Home Office"/>
    <s v="United States"/>
    <s v="Los Angeles"/>
    <s v="California"/>
    <n v="90032"/>
    <x v="1"/>
    <s v="TEC-AC-10002323"/>
    <x v="2"/>
    <s v="Accessories"/>
    <x v="177"/>
    <n v="176.8"/>
    <n v="8"/>
    <n v="0"/>
    <n v="22.984000000000002"/>
    <s v="Low"/>
  </r>
  <r>
    <n v="188"/>
    <s v="CA-2016-157000"/>
    <x v="87"/>
    <d v="2016-07-22T00:00:00"/>
    <s v="Standard Class"/>
    <s v="AM-10360"/>
    <s v="Alice McCarthy"/>
    <s v="Corporate"/>
    <s v="United States"/>
    <s v="Grand Prairie"/>
    <s v="Texas"/>
    <n v="75051"/>
    <x v="2"/>
    <s v="OFF-ST-10001328"/>
    <x v="1"/>
    <s v="Storage"/>
    <x v="178"/>
    <n v="37.223999999999997"/>
    <n v="3"/>
    <n v="0.2"/>
    <n v="3.7223999999999999"/>
    <s v="Low"/>
  </r>
  <r>
    <n v="189"/>
    <s v="CA-2016-157000"/>
    <x v="87"/>
    <d v="2016-07-22T00:00:00"/>
    <s v="Standard Class"/>
    <s v="AM-10360"/>
    <s v="Alice McCarthy"/>
    <s v="Corporate"/>
    <s v="United States"/>
    <s v="Grand Prairie"/>
    <s v="Texas"/>
    <n v="75051"/>
    <x v="2"/>
    <s v="OFF-PA-10001950"/>
    <x v="1"/>
    <s v="Paper"/>
    <x v="145"/>
    <n v="20.015999999999998"/>
    <n v="3"/>
    <n v="0.2"/>
    <n v="6.2549999999999999"/>
    <s v="Low"/>
  </r>
  <r>
    <n v="190"/>
    <s v="CA-2015-102281"/>
    <x v="88"/>
    <d v="2015-10-14T00:00:00"/>
    <s v="First Class"/>
    <s v="MP-17470"/>
    <s v="Mark Packer"/>
    <s v="Home Office"/>
    <s v="United States"/>
    <s v="New York City"/>
    <s v="New York"/>
    <n v="10035"/>
    <x v="3"/>
    <s v="FUR-BO-10002613"/>
    <x v="0"/>
    <s v="Bookcases"/>
    <x v="179"/>
    <n v="899.13599999999997"/>
    <n v="4"/>
    <n v="0.2"/>
    <n v="112.392"/>
    <s v="High"/>
  </r>
  <r>
    <n v="191"/>
    <s v="CA-2015-102281"/>
    <x v="88"/>
    <d v="2015-10-14T00:00:00"/>
    <s v="First Class"/>
    <s v="MP-17470"/>
    <s v="Mark Packer"/>
    <s v="Home Office"/>
    <s v="United States"/>
    <s v="New York City"/>
    <s v="New York"/>
    <n v="10035"/>
    <x v="3"/>
    <s v="TEC-PH-10001552"/>
    <x v="2"/>
    <s v="Phones"/>
    <x v="180"/>
    <n v="71.760000000000005"/>
    <n v="6"/>
    <n v="0"/>
    <n v="20.0928"/>
    <s v="Low"/>
  </r>
  <r>
    <n v="192"/>
    <s v="CA-2015-102281"/>
    <x v="88"/>
    <d v="2015-10-14T00:00:00"/>
    <s v="First Class"/>
    <s v="MP-17470"/>
    <s v="Mark Packer"/>
    <s v="Home Office"/>
    <s v="United States"/>
    <s v="New York City"/>
    <s v="New York"/>
    <n v="10035"/>
    <x v="3"/>
    <s v="OFF-PA-10000061"/>
    <x v="1"/>
    <s v="Paper"/>
    <x v="181"/>
    <n v="51.84"/>
    <n v="8"/>
    <n v="0"/>
    <n v="24.883199999999999"/>
    <s v="Low"/>
  </r>
  <r>
    <n v="193"/>
    <s v="CA-2015-102281"/>
    <x v="88"/>
    <d v="2015-10-14T00:00:00"/>
    <s v="First Class"/>
    <s v="MP-17470"/>
    <s v="Mark Packer"/>
    <s v="Home Office"/>
    <s v="United States"/>
    <s v="New York City"/>
    <s v="New York"/>
    <n v="10035"/>
    <x v="3"/>
    <s v="FUR-BO-10002545"/>
    <x v="0"/>
    <s v="Bookcases"/>
    <x v="37"/>
    <n v="626.35199999999998"/>
    <n v="3"/>
    <n v="0.2"/>
    <n v="46.976399999999998"/>
    <s v="High"/>
  </r>
  <r>
    <n v="194"/>
    <s v="CA-2015-102281"/>
    <x v="88"/>
    <d v="2015-10-14T00:00:00"/>
    <s v="First Class"/>
    <s v="MP-17470"/>
    <s v="Mark Packer"/>
    <s v="Home Office"/>
    <s v="United States"/>
    <s v="New York City"/>
    <s v="New York"/>
    <n v="10035"/>
    <x v="3"/>
    <s v="OFF-AR-10003514"/>
    <x v="1"/>
    <s v="Art"/>
    <x v="182"/>
    <n v="19.899999999999999"/>
    <n v="5"/>
    <n v="0"/>
    <n v="6.5670000000000002"/>
    <s v="Low"/>
  </r>
  <r>
    <n v="195"/>
    <s v="CA-2015-131457"/>
    <x v="89"/>
    <d v="2015-11-06T00:00:00"/>
    <s v="Standard Class"/>
    <s v="MZ-17515"/>
    <s v="Mary Zewe"/>
    <s v="Corporate"/>
    <s v="United States"/>
    <s v="Redlands"/>
    <s v="California"/>
    <n v="92374"/>
    <x v="1"/>
    <s v="OFF-EN-10001509"/>
    <x v="1"/>
    <s v="Envelopes"/>
    <x v="29"/>
    <n v="14.28"/>
    <n v="7"/>
    <n v="0"/>
    <n v="6.7115999999999998"/>
    <s v="Low"/>
  </r>
  <r>
    <n v="196"/>
    <s v="CA-2014-140004"/>
    <x v="90"/>
    <d v="2014-03-25T00:00:00"/>
    <s v="Standard Class"/>
    <s v="CB-12025"/>
    <s v="Cassandra Brandow"/>
    <s v="Consumer"/>
    <s v="United States"/>
    <s v="Hamilton"/>
    <s v="Ohio"/>
    <n v="45011"/>
    <x v="3"/>
    <s v="OFF-AR-10004685"/>
    <x v="1"/>
    <s v="Art"/>
    <x v="183"/>
    <n v="7.4080000000000004"/>
    <n v="2"/>
    <n v="0.2"/>
    <n v="1.2038"/>
    <s v="Low"/>
  </r>
  <r>
    <n v="197"/>
    <s v="CA-2014-140004"/>
    <x v="90"/>
    <d v="2014-03-25T00:00:00"/>
    <s v="Standard Class"/>
    <s v="CB-12025"/>
    <s v="Cassandra Brandow"/>
    <s v="Consumer"/>
    <s v="United States"/>
    <s v="Hamilton"/>
    <s v="Ohio"/>
    <n v="45011"/>
    <x v="3"/>
    <s v="OFF-AR-10004027"/>
    <x v="1"/>
    <s v="Art"/>
    <x v="184"/>
    <n v="6.048"/>
    <n v="3"/>
    <n v="0.2"/>
    <n v="1.5875999999999999"/>
    <s v="Low"/>
  </r>
  <r>
    <n v="198"/>
    <s v="CA-2017-107720"/>
    <x v="44"/>
    <d v="2017-11-13T00:00:00"/>
    <s v="Standard Class"/>
    <s v="VM-21685"/>
    <s v="Valerie Mitchum"/>
    <s v="Home Office"/>
    <s v="United States"/>
    <s v="Westfield"/>
    <s v="New Jersey"/>
    <n v="7090"/>
    <x v="3"/>
    <s v="OFF-ST-10001414"/>
    <x v="1"/>
    <s v="Storage"/>
    <x v="185"/>
    <n v="46.26"/>
    <n v="3"/>
    <n v="0"/>
    <n v="12.0276"/>
    <s v="Low"/>
  </r>
  <r>
    <n v="199"/>
    <s v="US-2017-124303"/>
    <x v="91"/>
    <d v="2017-07-13T00:00:00"/>
    <s v="Standard Class"/>
    <s v="FH-14365"/>
    <s v="Fred Hopkins"/>
    <s v="Corporate"/>
    <s v="United States"/>
    <s v="Philadelphia"/>
    <s v="Pennsylvania"/>
    <n v="19120"/>
    <x v="3"/>
    <s v="OFF-BI-10000343"/>
    <x v="1"/>
    <s v="Binders"/>
    <x v="186"/>
    <n v="2.9460000000000002"/>
    <n v="2"/>
    <n v="0.7"/>
    <n v="-2.2585999999999999"/>
    <s v="Low"/>
  </r>
  <r>
    <n v="200"/>
    <s v="US-2017-124303"/>
    <x v="91"/>
    <d v="2017-07-13T00:00:00"/>
    <s v="Standard Class"/>
    <s v="FH-14365"/>
    <s v="Fred Hopkins"/>
    <s v="Corporate"/>
    <s v="United States"/>
    <s v="Philadelphia"/>
    <s v="Pennsylvania"/>
    <n v="19120"/>
    <x v="3"/>
    <s v="OFF-PA-10002749"/>
    <x v="1"/>
    <s v="Paper"/>
    <x v="187"/>
    <n v="16.056000000000001"/>
    <n v="3"/>
    <n v="0.2"/>
    <n v="5.8202999999999996"/>
    <s v="Low"/>
  </r>
  <r>
    <n v="201"/>
    <s v="CA-2017-105074"/>
    <x v="92"/>
    <d v="2017-06-29T00:00:00"/>
    <s v="Standard Class"/>
    <s v="MB-17305"/>
    <s v="Maria Bertelson"/>
    <s v="Consumer"/>
    <s v="United States"/>
    <s v="Akron"/>
    <s v="Ohio"/>
    <n v="44312"/>
    <x v="3"/>
    <s v="OFF-PA-10002666"/>
    <x v="1"/>
    <s v="Paper"/>
    <x v="188"/>
    <n v="21.744"/>
    <n v="3"/>
    <n v="0.2"/>
    <n v="6.7949999999999999"/>
    <s v="Low"/>
  </r>
  <r>
    <n v="202"/>
    <s v="CA-2014-133690"/>
    <x v="93"/>
    <d v="2014-08-05T00:00:00"/>
    <s v="First Class"/>
    <s v="BS-11755"/>
    <s v="Bruce Stewart"/>
    <s v="Consumer"/>
    <s v="United States"/>
    <s v="Denver"/>
    <s v="Colorado"/>
    <n v="80219"/>
    <x v="1"/>
    <s v="FUR-TA-10004289"/>
    <x v="0"/>
    <s v="Tables"/>
    <x v="189"/>
    <n v="218.75"/>
    <n v="2"/>
    <n v="0.5"/>
    <n v="-161.875"/>
    <s v="Low"/>
  </r>
  <r>
    <n v="203"/>
    <s v="CA-2014-133690"/>
    <x v="93"/>
    <d v="2014-08-05T00:00:00"/>
    <s v="First Class"/>
    <s v="BS-11755"/>
    <s v="Bruce Stewart"/>
    <s v="Consumer"/>
    <s v="United States"/>
    <s v="Denver"/>
    <s v="Colorado"/>
    <n v="80219"/>
    <x v="1"/>
    <s v="OFF-AP-10003622"/>
    <x v="1"/>
    <s v="Appliances"/>
    <x v="190"/>
    <n v="2.6"/>
    <n v="1"/>
    <n v="0.2"/>
    <n v="0.29249999999999998"/>
    <s v="Low"/>
  </r>
  <r>
    <n v="204"/>
    <s v="US-2017-116701"/>
    <x v="94"/>
    <d v="2017-12-21T00:00:00"/>
    <s v="Second Class"/>
    <s v="LC-17140"/>
    <s v="Logan Currie"/>
    <s v="Consumer"/>
    <s v="United States"/>
    <s v="Dallas"/>
    <s v="Texas"/>
    <n v="75220"/>
    <x v="2"/>
    <s v="OFF-AP-10003217"/>
    <x v="1"/>
    <s v="Appliances"/>
    <x v="191"/>
    <n v="66.284000000000006"/>
    <n v="2"/>
    <n v="0.8"/>
    <n v="-178.96680000000001"/>
    <s v="Low"/>
  </r>
  <r>
    <n v="205"/>
    <s v="CA-2017-126382"/>
    <x v="95"/>
    <d v="2017-06-07T00:00:00"/>
    <s v="Standard Class"/>
    <s v="HK-14890"/>
    <s v="Heather Kirkland"/>
    <s v="Corporate"/>
    <s v="United States"/>
    <s v="Franklin"/>
    <s v="Tennessee"/>
    <n v="37064"/>
    <x v="0"/>
    <s v="FUR-FU-10002960"/>
    <x v="0"/>
    <s v="Furnishings"/>
    <x v="192"/>
    <n v="35.167999999999999"/>
    <n v="7"/>
    <n v="0.2"/>
    <n v="9.6712000000000007"/>
    <s v="Low"/>
  </r>
  <r>
    <n v="206"/>
    <s v="CA-2017-108329"/>
    <x v="34"/>
    <d v="2017-12-14T00:00:00"/>
    <s v="Standard Class"/>
    <s v="LE-16810"/>
    <s v="Laurel Elliston"/>
    <s v="Consumer"/>
    <s v="United States"/>
    <s v="Whittier"/>
    <s v="California"/>
    <n v="90604"/>
    <x v="1"/>
    <s v="TEC-PH-10001918"/>
    <x v="2"/>
    <s v="Phones"/>
    <x v="193"/>
    <n v="444.76799999999997"/>
    <n v="4"/>
    <n v="0.2"/>
    <n v="44.476799999999997"/>
    <s v="Low"/>
  </r>
  <r>
    <n v="207"/>
    <s v="CA-2017-135860"/>
    <x v="96"/>
    <d v="2017-12-07T00:00:00"/>
    <s v="Standard Class"/>
    <s v="JH-15985"/>
    <s v="Joseph Holt"/>
    <s v="Consumer"/>
    <s v="United States"/>
    <s v="Saginaw"/>
    <s v="Michigan"/>
    <n v="48601"/>
    <x v="2"/>
    <s v="OFF-ST-10000642"/>
    <x v="1"/>
    <s v="Storage"/>
    <x v="194"/>
    <n v="83.92"/>
    <n v="4"/>
    <n v="0"/>
    <n v="5.8743999999999996"/>
    <s v="Low"/>
  </r>
  <r>
    <n v="208"/>
    <s v="CA-2017-135860"/>
    <x v="96"/>
    <d v="2017-12-07T00:00:00"/>
    <s v="Standard Class"/>
    <s v="JH-15985"/>
    <s v="Joseph Holt"/>
    <s v="Consumer"/>
    <s v="United States"/>
    <s v="Saginaw"/>
    <s v="Michigan"/>
    <n v="48601"/>
    <x v="2"/>
    <s v="TEC-PH-10001700"/>
    <x v="2"/>
    <s v="Phones"/>
    <x v="195"/>
    <n v="131.97999999999999"/>
    <n v="2"/>
    <n v="0"/>
    <n v="35.634599999999999"/>
    <s v="Low"/>
  </r>
  <r>
    <n v="209"/>
    <s v="CA-2017-135860"/>
    <x v="96"/>
    <d v="2017-12-07T00:00:00"/>
    <s v="Standard Class"/>
    <s v="JH-15985"/>
    <s v="Joseph Holt"/>
    <s v="Consumer"/>
    <s v="United States"/>
    <s v="Saginaw"/>
    <s v="Michigan"/>
    <n v="48601"/>
    <x v="2"/>
    <s v="OFF-BI-10003274"/>
    <x v="1"/>
    <s v="Binders"/>
    <x v="122"/>
    <n v="15.92"/>
    <n v="4"/>
    <n v="0"/>
    <n v="7.4824000000000002"/>
    <s v="Low"/>
  </r>
  <r>
    <n v="210"/>
    <s v="CA-2017-135860"/>
    <x v="96"/>
    <d v="2017-12-07T00:00:00"/>
    <s v="Standard Class"/>
    <s v="JH-15985"/>
    <s v="Joseph Holt"/>
    <s v="Consumer"/>
    <s v="United States"/>
    <s v="Saginaw"/>
    <s v="Michigan"/>
    <n v="48601"/>
    <x v="2"/>
    <s v="OFF-FA-10000134"/>
    <x v="1"/>
    <s v="Fasteners"/>
    <x v="196"/>
    <n v="52.29"/>
    <n v="9"/>
    <n v="0"/>
    <n v="16.209900000000001"/>
    <s v="Low"/>
  </r>
  <r>
    <n v="211"/>
    <s v="CA-2017-135860"/>
    <x v="96"/>
    <d v="2017-12-07T00:00:00"/>
    <s v="Standard Class"/>
    <s v="JH-15985"/>
    <s v="Joseph Holt"/>
    <s v="Consumer"/>
    <s v="United States"/>
    <s v="Saginaw"/>
    <s v="Michigan"/>
    <n v="48601"/>
    <x v="2"/>
    <s v="OFF-ST-10001522"/>
    <x v="1"/>
    <s v="Storage"/>
    <x v="197"/>
    <n v="91.99"/>
    <n v="1"/>
    <n v="0"/>
    <n v="3.6796000000000002"/>
    <s v="Low"/>
  </r>
  <r>
    <n v="212"/>
    <s v="CA-2015-101007"/>
    <x v="97"/>
    <d v="2015-02-13T00:00:00"/>
    <s v="Second Class"/>
    <s v="MS-17980"/>
    <s v="Michael Stewart"/>
    <s v="Corporate"/>
    <s v="United States"/>
    <s v="Dallas"/>
    <s v="Texas"/>
    <n v="75220"/>
    <x v="2"/>
    <s v="TEC-AC-10001266"/>
    <x v="2"/>
    <s v="Accessories"/>
    <x v="198"/>
    <n v="20.8"/>
    <n v="2"/>
    <n v="0.2"/>
    <n v="6.5"/>
    <s v="Low"/>
  </r>
  <r>
    <n v="213"/>
    <s v="CA-2015-146262"/>
    <x v="98"/>
    <d v="2015-01-09T00:00:00"/>
    <s v="Standard Class"/>
    <s v="VW-21775"/>
    <s v="Victoria Wilson"/>
    <s v="Corporate"/>
    <s v="United States"/>
    <s v="Medina"/>
    <s v="Ohio"/>
    <n v="44256"/>
    <x v="3"/>
    <s v="OFF-LA-10004544"/>
    <x v="1"/>
    <s v="Labels"/>
    <x v="199"/>
    <n v="23.68"/>
    <n v="2"/>
    <n v="0.2"/>
    <n v="8.8800000000000008"/>
    <s v="Low"/>
  </r>
  <r>
    <n v="214"/>
    <s v="CA-2015-146262"/>
    <x v="98"/>
    <d v="2015-01-09T00:00:00"/>
    <s v="Standard Class"/>
    <s v="VW-21775"/>
    <s v="Victoria Wilson"/>
    <s v="Corporate"/>
    <s v="United States"/>
    <s v="Medina"/>
    <s v="Ohio"/>
    <n v="44256"/>
    <x v="3"/>
    <s v="FUR-BO-10004695"/>
    <x v="0"/>
    <s v="Bookcases"/>
    <x v="200"/>
    <n v="452.45"/>
    <n v="5"/>
    <n v="0.5"/>
    <n v="-244.32300000000001"/>
    <s v="Low"/>
  </r>
  <r>
    <n v="215"/>
    <s v="CA-2015-146262"/>
    <x v="98"/>
    <d v="2015-01-09T00:00:00"/>
    <s v="Standard Class"/>
    <s v="VW-21775"/>
    <s v="Victoria Wilson"/>
    <s v="Corporate"/>
    <s v="United States"/>
    <s v="Medina"/>
    <s v="Ohio"/>
    <n v="44256"/>
    <x v="3"/>
    <s v="TEC-PH-10002844"/>
    <x v="2"/>
    <s v="Phones"/>
    <x v="104"/>
    <n v="62.981999999999999"/>
    <n v="3"/>
    <n v="0.4"/>
    <n v="-14.6958"/>
    <s v="Low"/>
  </r>
  <r>
    <n v="216"/>
    <s v="CA-2015-146262"/>
    <x v="98"/>
    <d v="2015-01-09T00:00:00"/>
    <s v="Standard Class"/>
    <s v="VW-21775"/>
    <s v="Victoria Wilson"/>
    <s v="Corporate"/>
    <s v="United States"/>
    <s v="Medina"/>
    <s v="Ohio"/>
    <n v="44256"/>
    <x v="3"/>
    <s v="TEC-MA-10000864"/>
    <x v="2"/>
    <s v="Machines"/>
    <x v="201"/>
    <n v="1188"/>
    <n v="9"/>
    <n v="0.7"/>
    <n v="-950.4"/>
    <s v="High"/>
  </r>
  <r>
    <n v="217"/>
    <s v="CA-2015-146262"/>
    <x v="98"/>
    <d v="2015-01-09T00:00:00"/>
    <s v="Standard Class"/>
    <s v="VW-21775"/>
    <s v="Victoria Wilson"/>
    <s v="Corporate"/>
    <s v="United States"/>
    <s v="Medina"/>
    <s v="Ohio"/>
    <n v="44256"/>
    <x v="3"/>
    <s v="TEC-AC-10000109"/>
    <x v="2"/>
    <s v="Accessories"/>
    <x v="202"/>
    <n v="89.584000000000003"/>
    <n v="2"/>
    <n v="0.2"/>
    <n v="4.4791999999999996"/>
    <s v="Low"/>
  </r>
  <r>
    <n v="218"/>
    <s v="CA-2016-130162"/>
    <x v="99"/>
    <d v="2016-11-01T00:00:00"/>
    <s v="Standard Class"/>
    <s v="JH-15910"/>
    <s v="Jonathan Howell"/>
    <s v="Consumer"/>
    <s v="United States"/>
    <s v="Los Angeles"/>
    <s v="California"/>
    <n v="90032"/>
    <x v="1"/>
    <s v="OFF-ST-10001328"/>
    <x v="1"/>
    <s v="Storage"/>
    <x v="178"/>
    <n v="93.06"/>
    <n v="6"/>
    <n v="0"/>
    <n v="26.056799999999999"/>
    <s v="Low"/>
  </r>
  <r>
    <n v="219"/>
    <s v="CA-2016-130162"/>
    <x v="99"/>
    <d v="2016-11-01T00:00:00"/>
    <s v="Standard Class"/>
    <s v="JH-15910"/>
    <s v="Jonathan Howell"/>
    <s v="Consumer"/>
    <s v="United States"/>
    <s v="Los Angeles"/>
    <s v="California"/>
    <n v="90032"/>
    <x v="1"/>
    <s v="TEC-PH-10002563"/>
    <x v="2"/>
    <s v="Phones"/>
    <x v="203"/>
    <n v="302.37599999999998"/>
    <n v="3"/>
    <n v="0.2"/>
    <n v="22.6782"/>
    <s v="Low"/>
  </r>
  <r>
    <n v="220"/>
    <s v="CA-2015-169397"/>
    <x v="100"/>
    <d v="2015-12-27T00:00:00"/>
    <s v="First Class"/>
    <s v="JB-15925"/>
    <s v="Joni Blumstein"/>
    <s v="Consumer"/>
    <s v="United States"/>
    <s v="Dublin"/>
    <s v="Ohio"/>
    <n v="43017"/>
    <x v="3"/>
    <s v="OFF-FA-10000585"/>
    <x v="1"/>
    <s v="Fasteners"/>
    <x v="204"/>
    <n v="5.5839999999999996"/>
    <n v="2"/>
    <n v="0.2"/>
    <n v="1.8148"/>
    <s v="Low"/>
  </r>
  <r>
    <n v="221"/>
    <s v="CA-2015-169397"/>
    <x v="100"/>
    <d v="2015-12-27T00:00:00"/>
    <s v="First Class"/>
    <s v="JB-15925"/>
    <s v="Joni Blumstein"/>
    <s v="Consumer"/>
    <s v="United States"/>
    <s v="Dublin"/>
    <s v="Ohio"/>
    <n v="43017"/>
    <x v="3"/>
    <s v="OFF-PA-10004000"/>
    <x v="1"/>
    <s v="Paper"/>
    <x v="205"/>
    <n v="22.704000000000001"/>
    <n v="6"/>
    <n v="0.2"/>
    <n v="8.2302"/>
    <s v="Low"/>
  </r>
  <r>
    <n v="222"/>
    <s v="CA-2015-169397"/>
    <x v="100"/>
    <d v="2015-12-27T00:00:00"/>
    <s v="First Class"/>
    <s v="JB-15925"/>
    <s v="Joni Blumstein"/>
    <s v="Consumer"/>
    <s v="United States"/>
    <s v="Dublin"/>
    <s v="Ohio"/>
    <n v="43017"/>
    <x v="3"/>
    <s v="OFF-BI-10002852"/>
    <x v="1"/>
    <s v="Binders"/>
    <x v="91"/>
    <n v="19.776"/>
    <n v="4"/>
    <n v="0.7"/>
    <n v="-13.8432"/>
    <s v="Low"/>
  </r>
  <r>
    <n v="223"/>
    <s v="CA-2015-169397"/>
    <x v="100"/>
    <d v="2015-12-27T00:00:00"/>
    <s v="First Class"/>
    <s v="JB-15925"/>
    <s v="Joni Blumstein"/>
    <s v="Consumer"/>
    <s v="United States"/>
    <s v="Dublin"/>
    <s v="Ohio"/>
    <n v="43017"/>
    <x v="3"/>
    <s v="FUR-FU-10000087"/>
    <x v="0"/>
    <s v="Furnishings"/>
    <x v="206"/>
    <n v="72.703999999999994"/>
    <n v="4"/>
    <n v="0.2"/>
    <n v="19.084800000000001"/>
    <s v="Low"/>
  </r>
  <r>
    <n v="224"/>
    <s v="CA-2015-169397"/>
    <x v="100"/>
    <d v="2015-12-27T00:00:00"/>
    <s v="First Class"/>
    <s v="JB-15925"/>
    <s v="Joni Blumstein"/>
    <s v="Consumer"/>
    <s v="United States"/>
    <s v="Dublin"/>
    <s v="Ohio"/>
    <n v="43017"/>
    <x v="3"/>
    <s v="TEC-MA-10001148"/>
    <x v="2"/>
    <s v="Machines"/>
    <x v="207"/>
    <n v="479.988"/>
    <n v="4"/>
    <n v="0.7"/>
    <n v="-383.99040000000002"/>
    <s v="Low"/>
  </r>
  <r>
    <n v="225"/>
    <s v="CA-2015-169397"/>
    <x v="100"/>
    <d v="2015-12-27T00:00:00"/>
    <s v="First Class"/>
    <s v="JB-15925"/>
    <s v="Joni Blumstein"/>
    <s v="Consumer"/>
    <s v="United States"/>
    <s v="Dublin"/>
    <s v="Ohio"/>
    <n v="43017"/>
    <x v="3"/>
    <s v="OFF-AR-10001958"/>
    <x v="1"/>
    <s v="Art"/>
    <x v="208"/>
    <n v="27.167999999999999"/>
    <n v="2"/>
    <n v="0.2"/>
    <n v="2.7168000000000001"/>
    <s v="Low"/>
  </r>
  <r>
    <n v="226"/>
    <s v="CA-2015-163055"/>
    <x v="101"/>
    <d v="2015-08-16T00:00:00"/>
    <s v="Standard Class"/>
    <s v="DS-13180"/>
    <s v="David Smith"/>
    <s v="Corporate"/>
    <s v="United States"/>
    <s v="Detroit"/>
    <s v="Michigan"/>
    <n v="48227"/>
    <x v="2"/>
    <s v="OFF-AR-10001026"/>
    <x v="1"/>
    <s v="Art"/>
    <x v="209"/>
    <n v="2.2000000000000002"/>
    <n v="1"/>
    <n v="0"/>
    <n v="0.96799999999999997"/>
    <s v="Low"/>
  </r>
  <r>
    <n v="227"/>
    <s v="CA-2015-163055"/>
    <x v="101"/>
    <d v="2015-08-16T00:00:00"/>
    <s v="Standard Class"/>
    <s v="DS-13180"/>
    <s v="David Smith"/>
    <s v="Corporate"/>
    <s v="United States"/>
    <s v="Detroit"/>
    <s v="Michigan"/>
    <n v="48227"/>
    <x v="2"/>
    <s v="FUR-TA-10003748"/>
    <x v="0"/>
    <s v="Tables"/>
    <x v="210"/>
    <n v="622.45000000000005"/>
    <n v="5"/>
    <n v="0"/>
    <n v="136.93899999999999"/>
    <s v="High"/>
  </r>
  <r>
    <n v="228"/>
    <s v="CA-2015-163055"/>
    <x v="101"/>
    <d v="2015-08-16T00:00:00"/>
    <s v="Standard Class"/>
    <s v="DS-13180"/>
    <s v="David Smith"/>
    <s v="Corporate"/>
    <s v="United States"/>
    <s v="Detroit"/>
    <s v="Michigan"/>
    <n v="48227"/>
    <x v="2"/>
    <s v="OFF-ST-10002485"/>
    <x v="1"/>
    <s v="Storage"/>
    <x v="211"/>
    <n v="21.98"/>
    <n v="1"/>
    <n v="0"/>
    <n v="0.2198"/>
    <s v="Low"/>
  </r>
  <r>
    <n v="229"/>
    <s v="US-2015-145436"/>
    <x v="102"/>
    <d v="2015-03-04T00:00:00"/>
    <s v="Standard Class"/>
    <s v="VD-21670"/>
    <s v="Valerie Dominguez"/>
    <s v="Consumer"/>
    <s v="United States"/>
    <s v="Columbia"/>
    <s v="Tennessee"/>
    <n v="38401"/>
    <x v="0"/>
    <s v="FUR-CH-10004860"/>
    <x v="0"/>
    <s v="Chairs"/>
    <x v="212"/>
    <n v="161.56800000000001"/>
    <n v="2"/>
    <n v="0.2"/>
    <n v="-28.2744"/>
    <s v="Low"/>
  </r>
  <r>
    <n v="230"/>
    <s v="US-2015-145436"/>
    <x v="102"/>
    <d v="2015-03-04T00:00:00"/>
    <s v="Standard Class"/>
    <s v="VD-21670"/>
    <s v="Valerie Dominguez"/>
    <s v="Consumer"/>
    <s v="United States"/>
    <s v="Columbia"/>
    <s v="Tennessee"/>
    <n v="38401"/>
    <x v="0"/>
    <s v="FUR-CH-10004477"/>
    <x v="0"/>
    <s v="Chairs"/>
    <x v="213"/>
    <n v="389.69600000000003"/>
    <n v="8"/>
    <n v="0.2"/>
    <n v="43.840800000000002"/>
    <s v="Low"/>
  </r>
  <r>
    <n v="231"/>
    <s v="US-2014-156216"/>
    <x v="103"/>
    <d v="2014-09-17T00:00:00"/>
    <s v="Standard Class"/>
    <s v="EA-14035"/>
    <s v="Erin Ashbrook"/>
    <s v="Corporate"/>
    <s v="United States"/>
    <s v="Charlotte"/>
    <s v="North Carolina"/>
    <n v="28205"/>
    <x v="0"/>
    <s v="OFF-BI-10001679"/>
    <x v="1"/>
    <s v="Binders"/>
    <x v="214"/>
    <n v="18.648"/>
    <n v="7"/>
    <n v="0.7"/>
    <n v="-12.432"/>
    <s v="Low"/>
  </r>
  <r>
    <n v="232"/>
    <s v="US-2017-100930"/>
    <x v="104"/>
    <d v="2017-04-12T00:00:00"/>
    <s v="Standard Class"/>
    <s v="CS-12400"/>
    <s v="Christopher Schild"/>
    <s v="Home Office"/>
    <s v="United States"/>
    <s v="Tampa"/>
    <s v="Florida"/>
    <n v="33614"/>
    <x v="0"/>
    <s v="FUR-TA-10001705"/>
    <x v="0"/>
    <s v="Tables"/>
    <x v="215"/>
    <n v="233.86"/>
    <n v="2"/>
    <n v="0.45"/>
    <n v="-102.048"/>
    <s v="Low"/>
  </r>
  <r>
    <n v="233"/>
    <s v="US-2017-100930"/>
    <x v="104"/>
    <d v="2017-04-12T00:00:00"/>
    <s v="Standard Class"/>
    <s v="CS-12400"/>
    <s v="Christopher Schild"/>
    <s v="Home Office"/>
    <s v="United States"/>
    <s v="Tampa"/>
    <s v="Florida"/>
    <n v="33614"/>
    <x v="0"/>
    <s v="FUR-TA-10003473"/>
    <x v="0"/>
    <s v="Tables"/>
    <x v="216"/>
    <n v="620.61450000000002"/>
    <n v="3"/>
    <n v="0.45"/>
    <n v="-248.2458"/>
    <s v="High"/>
  </r>
  <r>
    <n v="234"/>
    <s v="US-2017-100930"/>
    <x v="104"/>
    <d v="2017-04-12T00:00:00"/>
    <s v="Standard Class"/>
    <s v="CS-12400"/>
    <s v="Christopher Schild"/>
    <s v="Home Office"/>
    <s v="United States"/>
    <s v="Tampa"/>
    <s v="Florida"/>
    <n v="33614"/>
    <x v="0"/>
    <s v="OFF-BI-10001679"/>
    <x v="1"/>
    <s v="Binders"/>
    <x v="214"/>
    <n v="5.3280000000000003"/>
    <n v="2"/>
    <n v="0.7"/>
    <n v="-3.552"/>
    <s v="Low"/>
  </r>
  <r>
    <n v="235"/>
    <s v="US-2017-100930"/>
    <x v="104"/>
    <d v="2017-04-12T00:00:00"/>
    <s v="Standard Class"/>
    <s v="CS-12400"/>
    <s v="Christopher Schild"/>
    <s v="Home Office"/>
    <s v="United States"/>
    <s v="Tampa"/>
    <s v="Florida"/>
    <n v="33614"/>
    <x v="0"/>
    <s v="FUR-FU-10004017"/>
    <x v="0"/>
    <s v="Furnishings"/>
    <x v="217"/>
    <n v="258.072"/>
    <n v="3"/>
    <n v="0.2"/>
    <n v="0"/>
    <s v="Low"/>
  </r>
  <r>
    <n v="236"/>
    <s v="US-2017-100930"/>
    <x v="104"/>
    <d v="2017-04-12T00:00:00"/>
    <s v="Standard Class"/>
    <s v="CS-12400"/>
    <s v="Christopher Schild"/>
    <s v="Home Office"/>
    <s v="United States"/>
    <s v="Tampa"/>
    <s v="Florida"/>
    <n v="33614"/>
    <x v="0"/>
    <s v="TEC-AC-10003832"/>
    <x v="2"/>
    <s v="Accessories"/>
    <x v="218"/>
    <n v="617.976"/>
    <n v="3"/>
    <n v="0.2"/>
    <n v="-7.7247000000000003"/>
    <s v="High"/>
  </r>
  <r>
    <n v="237"/>
    <s v="CA-2017-160514"/>
    <x v="105"/>
    <d v="2017-11-16T00:00:00"/>
    <s v="Standard Class"/>
    <s v="DB-13120"/>
    <s v="David Bremer"/>
    <s v="Corporate"/>
    <s v="United States"/>
    <s v="Santa Clara"/>
    <s v="California"/>
    <n v="95051"/>
    <x v="1"/>
    <s v="OFF-PA-10002479"/>
    <x v="1"/>
    <s v="Paper"/>
    <x v="219"/>
    <n v="10.56"/>
    <n v="2"/>
    <n v="0"/>
    <n v="4.7519999999999998"/>
    <s v="Low"/>
  </r>
  <r>
    <n v="238"/>
    <s v="CA-2016-157749"/>
    <x v="30"/>
    <d v="2016-06-09T00:00:00"/>
    <s v="Second Class"/>
    <s v="KL-16645"/>
    <s v="Ken Lonsdale"/>
    <s v="Consumer"/>
    <s v="United States"/>
    <s v="Chicago"/>
    <s v="Illinois"/>
    <n v="60610"/>
    <x v="2"/>
    <s v="OFF-PA-10003349"/>
    <x v="1"/>
    <s v="Paper"/>
    <x v="220"/>
    <n v="25.92"/>
    <n v="5"/>
    <n v="0.2"/>
    <n v="9.3960000000000008"/>
    <s v="Low"/>
  </r>
  <r>
    <n v="239"/>
    <s v="CA-2016-157749"/>
    <x v="30"/>
    <d v="2016-06-09T00:00:00"/>
    <s v="Second Class"/>
    <s v="KL-16645"/>
    <s v="Ken Lonsdale"/>
    <s v="Consumer"/>
    <s v="United States"/>
    <s v="Chicago"/>
    <s v="Illinois"/>
    <n v="60610"/>
    <x v="2"/>
    <s v="FUR-FU-10000576"/>
    <x v="0"/>
    <s v="Furnishings"/>
    <x v="221"/>
    <n v="419.68"/>
    <n v="5"/>
    <n v="0.6"/>
    <n v="-356.72800000000001"/>
    <s v="Low"/>
  </r>
  <r>
    <n v="240"/>
    <s v="CA-2016-157749"/>
    <x v="30"/>
    <d v="2016-06-09T00:00:00"/>
    <s v="Second Class"/>
    <s v="KL-16645"/>
    <s v="Ken Lonsdale"/>
    <s v="Consumer"/>
    <s v="United States"/>
    <s v="Chicago"/>
    <s v="Illinois"/>
    <n v="60610"/>
    <x v="2"/>
    <s v="FUR-FU-10004351"/>
    <x v="0"/>
    <s v="Furnishings"/>
    <x v="222"/>
    <n v="11.688000000000001"/>
    <n v="3"/>
    <n v="0.6"/>
    <n v="-4.6752000000000002"/>
    <s v="Low"/>
  </r>
  <r>
    <n v="241"/>
    <s v="CA-2016-157749"/>
    <x v="30"/>
    <d v="2016-06-09T00:00:00"/>
    <s v="Second Class"/>
    <s v="KL-16645"/>
    <s v="Ken Lonsdale"/>
    <s v="Consumer"/>
    <s v="United States"/>
    <s v="Chicago"/>
    <s v="Illinois"/>
    <n v="60610"/>
    <x v="2"/>
    <s v="TEC-PH-10000011"/>
    <x v="2"/>
    <s v="Phones"/>
    <x v="223"/>
    <n v="31.984000000000002"/>
    <n v="2"/>
    <n v="0.2"/>
    <n v="11.1944"/>
    <s v="Low"/>
  </r>
  <r>
    <n v="242"/>
    <s v="CA-2016-157749"/>
    <x v="30"/>
    <d v="2016-06-09T00:00:00"/>
    <s v="Second Class"/>
    <s v="KL-16645"/>
    <s v="Ken Lonsdale"/>
    <s v="Consumer"/>
    <s v="United States"/>
    <s v="Chicago"/>
    <s v="Illinois"/>
    <n v="60610"/>
    <x v="2"/>
    <s v="FUR-TA-10002607"/>
    <x v="0"/>
    <s v="Tables"/>
    <x v="224"/>
    <n v="177.22499999999999"/>
    <n v="5"/>
    <n v="0.5"/>
    <n v="-120.51300000000001"/>
    <s v="Low"/>
  </r>
  <r>
    <n v="243"/>
    <s v="CA-2016-157749"/>
    <x v="30"/>
    <d v="2016-06-09T00:00:00"/>
    <s v="Second Class"/>
    <s v="KL-16645"/>
    <s v="Ken Lonsdale"/>
    <s v="Consumer"/>
    <s v="United States"/>
    <s v="Chicago"/>
    <s v="Illinois"/>
    <n v="60610"/>
    <x v="2"/>
    <s v="FUR-FU-10002505"/>
    <x v="0"/>
    <s v="Furnishings"/>
    <x v="225"/>
    <n v="4.0439999999999996"/>
    <n v="3"/>
    <n v="0.6"/>
    <n v="-2.8308"/>
    <s v="Low"/>
  </r>
  <r>
    <n v="244"/>
    <s v="CA-2016-157749"/>
    <x v="30"/>
    <d v="2016-06-09T00:00:00"/>
    <s v="Second Class"/>
    <s v="KL-16645"/>
    <s v="Ken Lonsdale"/>
    <s v="Consumer"/>
    <s v="United States"/>
    <s v="Chicago"/>
    <s v="Illinois"/>
    <n v="60610"/>
    <x v="2"/>
    <s v="OFF-AR-10004685"/>
    <x v="1"/>
    <s v="Art"/>
    <x v="183"/>
    <n v="7.4080000000000004"/>
    <n v="2"/>
    <n v="0.2"/>
    <n v="1.2038"/>
    <s v="Low"/>
  </r>
  <r>
    <n v="245"/>
    <s v="CA-2014-131926"/>
    <x v="106"/>
    <d v="2014-06-06T00:00:00"/>
    <s v="Second Class"/>
    <s v="DW-13480"/>
    <s v="Dianna Wilson"/>
    <s v="Home Office"/>
    <s v="United States"/>
    <s v="Lakeville"/>
    <s v="Minnesota"/>
    <n v="55044"/>
    <x v="2"/>
    <s v="FUR-CH-10004063"/>
    <x v="0"/>
    <s v="Chairs"/>
    <x v="120"/>
    <n v="2001.86"/>
    <n v="7"/>
    <n v="0"/>
    <n v="580.5394"/>
    <s v="High"/>
  </r>
  <r>
    <n v="246"/>
    <s v="CA-2014-131926"/>
    <x v="106"/>
    <d v="2014-06-06T00:00:00"/>
    <s v="Second Class"/>
    <s v="DW-13480"/>
    <s v="Dianna Wilson"/>
    <s v="Home Office"/>
    <s v="United States"/>
    <s v="Lakeville"/>
    <s v="Minnesota"/>
    <n v="55044"/>
    <x v="2"/>
    <s v="OFF-ST-10002276"/>
    <x v="1"/>
    <s v="Storage"/>
    <x v="226"/>
    <n v="166.72"/>
    <n v="2"/>
    <n v="0"/>
    <n v="41.68"/>
    <s v="Low"/>
  </r>
  <r>
    <n v="247"/>
    <s v="CA-2014-131926"/>
    <x v="106"/>
    <d v="2014-06-06T00:00:00"/>
    <s v="Second Class"/>
    <s v="DW-13480"/>
    <s v="Dianna Wilson"/>
    <s v="Home Office"/>
    <s v="United States"/>
    <s v="Lakeville"/>
    <s v="Minnesota"/>
    <n v="55044"/>
    <x v="2"/>
    <s v="OFF-PA-10004082"/>
    <x v="1"/>
    <s v="Paper"/>
    <x v="227"/>
    <n v="47.88"/>
    <n v="6"/>
    <n v="0"/>
    <n v="23.94"/>
    <s v="Low"/>
  </r>
  <r>
    <n v="248"/>
    <s v="CA-2014-131926"/>
    <x v="106"/>
    <d v="2014-06-06T00:00:00"/>
    <s v="Second Class"/>
    <s v="DW-13480"/>
    <s v="Dianna Wilson"/>
    <s v="Home Office"/>
    <s v="United States"/>
    <s v="Lakeville"/>
    <s v="Minnesota"/>
    <n v="55044"/>
    <x v="2"/>
    <s v="OFF-AP-10002945"/>
    <x v="1"/>
    <s v="Appliances"/>
    <x v="228"/>
    <n v="1503.25"/>
    <n v="5"/>
    <n v="0"/>
    <n v="496.07249999999999"/>
    <s v="High"/>
  </r>
  <r>
    <n v="249"/>
    <s v="CA-2014-131926"/>
    <x v="106"/>
    <d v="2014-06-06T00:00:00"/>
    <s v="Second Class"/>
    <s v="DW-13480"/>
    <s v="Dianna Wilson"/>
    <s v="Home Office"/>
    <s v="United States"/>
    <s v="Lakeville"/>
    <s v="Minnesota"/>
    <n v="55044"/>
    <x v="2"/>
    <s v="OFF-PA-10000061"/>
    <x v="1"/>
    <s v="Paper"/>
    <x v="181"/>
    <n v="25.92"/>
    <n v="4"/>
    <n v="0"/>
    <n v="12.441599999999999"/>
    <s v="Low"/>
  </r>
  <r>
    <n v="250"/>
    <s v="CA-2016-154739"/>
    <x v="107"/>
    <d v="2016-12-15T00:00:00"/>
    <s v="Second Class"/>
    <s v="LH-17155"/>
    <s v="Logan Haushalter"/>
    <s v="Consumer"/>
    <s v="United States"/>
    <s v="San Francisco"/>
    <s v="California"/>
    <n v="94109"/>
    <x v="1"/>
    <s v="FUR-CH-10002965"/>
    <x v="0"/>
    <s v="Chairs"/>
    <x v="229"/>
    <n v="321.56799999999998"/>
    <n v="2"/>
    <n v="0.2"/>
    <n v="28.1372"/>
    <s v="Low"/>
  </r>
  <r>
    <n v="251"/>
    <s v="CA-2016-145625"/>
    <x v="108"/>
    <d v="2016-09-17T00:00:00"/>
    <s v="Standard Class"/>
    <s v="KC-16540"/>
    <s v="Kelly Collister"/>
    <s v="Consumer"/>
    <s v="United States"/>
    <s v="San Diego"/>
    <s v="California"/>
    <n v="92037"/>
    <x v="1"/>
    <s v="OFF-PA-10004569"/>
    <x v="1"/>
    <s v="Paper"/>
    <x v="230"/>
    <n v="7.61"/>
    <n v="1"/>
    <n v="0"/>
    <n v="3.5767000000000002"/>
    <s v="Low"/>
  </r>
  <r>
    <n v="252"/>
    <s v="CA-2016-145625"/>
    <x v="108"/>
    <d v="2016-09-17T00:00:00"/>
    <s v="Standard Class"/>
    <s v="KC-16540"/>
    <s v="Kelly Collister"/>
    <s v="Consumer"/>
    <s v="United States"/>
    <s v="San Diego"/>
    <s v="California"/>
    <n v="92037"/>
    <x v="1"/>
    <s v="TEC-AC-10003832"/>
    <x v="2"/>
    <s v="Accessories"/>
    <x v="218"/>
    <n v="3347.37"/>
    <n v="13"/>
    <n v="0"/>
    <n v="636.00030000000004"/>
    <s v="High"/>
  </r>
  <r>
    <n v="253"/>
    <s v="CA-2016-146941"/>
    <x v="107"/>
    <d v="2016-12-13T00:00:00"/>
    <s v="First Class"/>
    <s v="DL-13315"/>
    <s v="Delfina Latchford"/>
    <s v="Consumer"/>
    <s v="United States"/>
    <s v="New York City"/>
    <s v="New York"/>
    <n v="10024"/>
    <x v="3"/>
    <s v="OFF-ST-10001228"/>
    <x v="1"/>
    <s v="Storage"/>
    <x v="231"/>
    <n v="80.58"/>
    <n v="6"/>
    <n v="0"/>
    <n v="22.5624"/>
    <s v="Low"/>
  </r>
  <r>
    <n v="254"/>
    <s v="CA-2016-146941"/>
    <x v="107"/>
    <d v="2016-12-13T00:00:00"/>
    <s v="First Class"/>
    <s v="DL-13315"/>
    <s v="Delfina Latchford"/>
    <s v="Consumer"/>
    <s v="United States"/>
    <s v="New York City"/>
    <s v="New York"/>
    <n v="10024"/>
    <x v="3"/>
    <s v="OFF-EN-10003296"/>
    <x v="1"/>
    <s v="Envelopes"/>
    <x v="232"/>
    <n v="361.92"/>
    <n v="4"/>
    <n v="0"/>
    <n v="162.864"/>
    <s v="Low"/>
  </r>
  <r>
    <n v="255"/>
    <s v="US-2015-159982"/>
    <x v="109"/>
    <d v="2015-12-04T00:00:00"/>
    <s v="Standard Class"/>
    <s v="DR-12880"/>
    <s v="Dan Reichenbach"/>
    <s v="Corporate"/>
    <s v="United States"/>
    <s v="Chicago"/>
    <s v="Illinois"/>
    <n v="60623"/>
    <x v="2"/>
    <s v="FUR-FU-10002505"/>
    <x v="0"/>
    <s v="Furnishings"/>
    <x v="225"/>
    <n v="12.132"/>
    <n v="9"/>
    <n v="0.6"/>
    <n v="-8.4923999999999999"/>
    <s v="Low"/>
  </r>
  <r>
    <n v="256"/>
    <s v="US-2015-159982"/>
    <x v="109"/>
    <d v="2015-12-04T00:00:00"/>
    <s v="Standard Class"/>
    <s v="DR-12880"/>
    <s v="Dan Reichenbach"/>
    <s v="Corporate"/>
    <s v="United States"/>
    <s v="Chicago"/>
    <s v="Illinois"/>
    <n v="60623"/>
    <x v="2"/>
    <s v="OFF-ST-10004804"/>
    <x v="1"/>
    <s v="Storage"/>
    <x v="233"/>
    <n v="82.367999999999995"/>
    <n v="2"/>
    <n v="0.2"/>
    <n v="-19.5624"/>
    <s v="Low"/>
  </r>
  <r>
    <n v="257"/>
    <s v="US-2015-159982"/>
    <x v="109"/>
    <d v="2015-12-04T00:00:00"/>
    <s v="Standard Class"/>
    <s v="DR-12880"/>
    <s v="Dan Reichenbach"/>
    <s v="Corporate"/>
    <s v="United States"/>
    <s v="Chicago"/>
    <s v="Illinois"/>
    <n v="60623"/>
    <x v="2"/>
    <s v="OFF-ST-10001590"/>
    <x v="1"/>
    <s v="Storage"/>
    <x v="147"/>
    <n v="53.92"/>
    <n v="5"/>
    <n v="0.2"/>
    <n v="4.0439999999999996"/>
    <s v="Low"/>
  </r>
  <r>
    <n v="258"/>
    <s v="US-2015-159982"/>
    <x v="109"/>
    <d v="2015-12-04T00:00:00"/>
    <s v="Standard Class"/>
    <s v="DR-12880"/>
    <s v="Dan Reichenbach"/>
    <s v="Corporate"/>
    <s v="United States"/>
    <s v="Chicago"/>
    <s v="Illinois"/>
    <n v="60623"/>
    <x v="2"/>
    <s v="TEC-PH-10001580"/>
    <x v="2"/>
    <s v="Phones"/>
    <x v="234"/>
    <n v="647.904"/>
    <n v="6"/>
    <n v="0.2"/>
    <n v="56.691600000000001"/>
    <s v="High"/>
  </r>
  <r>
    <n v="259"/>
    <s v="CA-2017-163139"/>
    <x v="96"/>
    <d v="2017-12-03T00:00:00"/>
    <s v="Second Class"/>
    <s v="CC-12670"/>
    <s v="Craig Carreira"/>
    <s v="Consumer"/>
    <s v="United States"/>
    <s v="New York City"/>
    <s v="New York"/>
    <n v="10009"/>
    <x v="3"/>
    <s v="TEC-AC-10000290"/>
    <x v="2"/>
    <s v="Accessories"/>
    <x v="235"/>
    <n v="20.37"/>
    <n v="3"/>
    <n v="0"/>
    <n v="6.9257999999999997"/>
    <s v="Low"/>
  </r>
  <r>
    <n v="260"/>
    <s v="CA-2017-163139"/>
    <x v="96"/>
    <d v="2017-12-03T00:00:00"/>
    <s v="Second Class"/>
    <s v="CC-12670"/>
    <s v="Craig Carreira"/>
    <s v="Consumer"/>
    <s v="United States"/>
    <s v="New York City"/>
    <s v="New York"/>
    <n v="10009"/>
    <x v="3"/>
    <s v="OFF-ST-10002790"/>
    <x v="1"/>
    <s v="Storage"/>
    <x v="236"/>
    <n v="221.55"/>
    <n v="3"/>
    <n v="0"/>
    <n v="6.6464999999999996"/>
    <s v="Low"/>
  </r>
  <r>
    <n v="261"/>
    <s v="CA-2017-163139"/>
    <x v="96"/>
    <d v="2017-12-03T00:00:00"/>
    <s v="Second Class"/>
    <s v="CC-12670"/>
    <s v="Craig Carreira"/>
    <s v="Consumer"/>
    <s v="United States"/>
    <s v="New York City"/>
    <s v="New York"/>
    <n v="10009"/>
    <x v="3"/>
    <s v="OFF-BI-10003460"/>
    <x v="1"/>
    <s v="Binders"/>
    <x v="237"/>
    <n v="17.52"/>
    <n v="5"/>
    <n v="0.2"/>
    <n v="6.1319999999999997"/>
    <s v="Low"/>
  </r>
  <r>
    <n v="262"/>
    <s v="US-2017-155299"/>
    <x v="110"/>
    <d v="2017-06-12T00:00:00"/>
    <s v="Standard Class"/>
    <s v="Dl-13600"/>
    <s v="Dorris liebe"/>
    <s v="Corporate"/>
    <s v="United States"/>
    <s v="Pasadena"/>
    <s v="Texas"/>
    <n v="77506"/>
    <x v="2"/>
    <s v="OFF-AP-10002203"/>
    <x v="1"/>
    <s v="Appliances"/>
    <x v="238"/>
    <n v="1.6240000000000001"/>
    <n v="2"/>
    <n v="0.8"/>
    <n v="-4.4660000000000002"/>
    <s v="Low"/>
  </r>
  <r>
    <n v="263"/>
    <s v="US-2014-106992"/>
    <x v="111"/>
    <d v="2014-09-21T00:00:00"/>
    <s v="Second Class"/>
    <s v="SB-20290"/>
    <s v="Sean Braxton"/>
    <s v="Corporate"/>
    <s v="United States"/>
    <s v="Houston"/>
    <s v="Texas"/>
    <n v="77036"/>
    <x v="2"/>
    <s v="TEC-MA-10000822"/>
    <x v="2"/>
    <s v="Machines"/>
    <x v="156"/>
    <n v="3059.982"/>
    <n v="3"/>
    <n v="0.4"/>
    <n v="-509.99700000000001"/>
    <s v="High"/>
  </r>
  <r>
    <n v="264"/>
    <s v="US-2014-106992"/>
    <x v="111"/>
    <d v="2014-09-21T00:00:00"/>
    <s v="Second Class"/>
    <s v="SB-20290"/>
    <s v="Sean Braxton"/>
    <s v="Corporate"/>
    <s v="United States"/>
    <s v="Houston"/>
    <s v="Texas"/>
    <n v="77036"/>
    <x v="2"/>
    <s v="TEC-MA-10003353"/>
    <x v="2"/>
    <s v="Machines"/>
    <x v="239"/>
    <n v="2519.9580000000001"/>
    <n v="7"/>
    <n v="0.4"/>
    <n v="-251.9958"/>
    <s v="High"/>
  </r>
  <r>
    <n v="265"/>
    <s v="CA-2016-125318"/>
    <x v="112"/>
    <d v="2016-06-13T00:00:00"/>
    <s v="Standard Class"/>
    <s v="RC-19825"/>
    <s v="Roy Collins"/>
    <s v="Consumer"/>
    <s v="United States"/>
    <s v="Chicago"/>
    <s v="Illinois"/>
    <n v="60610"/>
    <x v="2"/>
    <s v="TEC-PH-10001433"/>
    <x v="2"/>
    <s v="Phones"/>
    <x v="240"/>
    <n v="328.22399999999999"/>
    <n v="4"/>
    <n v="0.2"/>
    <n v="28.7196"/>
    <s v="Low"/>
  </r>
  <r>
    <n v="266"/>
    <s v="CA-2015-155040"/>
    <x v="113"/>
    <d v="2015-11-15T00:00:00"/>
    <s v="Standard Class"/>
    <s v="AH-10210"/>
    <s v="Alan Hwang"/>
    <s v="Consumer"/>
    <s v="United States"/>
    <s v="Brentwood"/>
    <s v="California"/>
    <n v="94513"/>
    <x v="1"/>
    <s v="TEC-AC-10004469"/>
    <x v="2"/>
    <s v="Accessories"/>
    <x v="241"/>
    <n v="79.900000000000006"/>
    <n v="2"/>
    <n v="0"/>
    <n v="35.155999999999999"/>
    <s v="Low"/>
  </r>
  <r>
    <n v="267"/>
    <s v="CA-2017-136826"/>
    <x v="114"/>
    <d v="2017-06-20T00:00:00"/>
    <s v="Standard Class"/>
    <s v="CB-12535"/>
    <s v="Claudia Bergmann"/>
    <s v="Corporate"/>
    <s v="United States"/>
    <s v="Chapel Hill"/>
    <s v="North Carolina"/>
    <n v="27514"/>
    <x v="0"/>
    <s v="OFF-AR-10003602"/>
    <x v="1"/>
    <s v="Art"/>
    <x v="242"/>
    <n v="14.016"/>
    <n v="3"/>
    <n v="0.2"/>
    <n v="4.7304000000000004"/>
    <s v="Low"/>
  </r>
  <r>
    <n v="268"/>
    <s v="CA-2016-111010"/>
    <x v="115"/>
    <d v="2016-01-28T00:00:00"/>
    <s v="Standard Class"/>
    <s v="PG-18895"/>
    <s v="Paul Gonzalez"/>
    <s v="Consumer"/>
    <s v="United States"/>
    <s v="Morristown"/>
    <s v="New Jersey"/>
    <n v="7960"/>
    <x v="3"/>
    <s v="OFF-FA-10003472"/>
    <x v="1"/>
    <s v="Fasteners"/>
    <x v="243"/>
    <n v="7.56"/>
    <n v="6"/>
    <n v="0"/>
    <n v="0.3024"/>
    <s v="Low"/>
  </r>
  <r>
    <n v="269"/>
    <s v="US-2017-145366"/>
    <x v="34"/>
    <d v="2017-12-13T00:00:00"/>
    <s v="Standard Class"/>
    <s v="CA-12310"/>
    <s v="Christine Abelman"/>
    <s v="Corporate"/>
    <s v="United States"/>
    <s v="Cincinnati"/>
    <s v="Ohio"/>
    <n v="45231"/>
    <x v="3"/>
    <s v="OFF-ST-10004180"/>
    <x v="1"/>
    <s v="Storage"/>
    <x v="244"/>
    <n v="37.207999999999998"/>
    <n v="1"/>
    <n v="0.2"/>
    <n v="-7.4416000000000002"/>
    <s v="Low"/>
  </r>
  <r>
    <n v="270"/>
    <s v="US-2017-145366"/>
    <x v="34"/>
    <d v="2017-12-13T00:00:00"/>
    <s v="Standard Class"/>
    <s v="CA-12310"/>
    <s v="Christine Abelman"/>
    <s v="Corporate"/>
    <s v="United States"/>
    <s v="Cincinnati"/>
    <s v="Ohio"/>
    <n v="45231"/>
    <x v="3"/>
    <s v="OFF-EN-10004386"/>
    <x v="1"/>
    <s v="Envelopes"/>
    <x v="245"/>
    <n v="57.576000000000001"/>
    <n v="3"/>
    <n v="0.2"/>
    <n v="21.591000000000001"/>
    <s v="Low"/>
  </r>
  <r>
    <n v="271"/>
    <s v="CA-2017-163979"/>
    <x v="116"/>
    <d v="2018-01-02T00:00:00"/>
    <s v="Second Class"/>
    <s v="KH-16690"/>
    <s v="Kristen Hastings"/>
    <s v="Corporate"/>
    <s v="United States"/>
    <s v="San Francisco"/>
    <s v="California"/>
    <n v="94110"/>
    <x v="1"/>
    <s v="OFF-ST-10003208"/>
    <x v="1"/>
    <s v="Storage"/>
    <x v="246"/>
    <n v="725.84"/>
    <n v="4"/>
    <n v="0"/>
    <n v="210.49359999999999"/>
    <s v="High"/>
  </r>
  <r>
    <n v="272"/>
    <s v="CA-2015-155334"/>
    <x v="117"/>
    <d v="2015-07-31T00:00:00"/>
    <s v="First Class"/>
    <s v="HA-14920"/>
    <s v="Helen Andreada"/>
    <s v="Consumer"/>
    <s v="United States"/>
    <s v="San Francisco"/>
    <s v="California"/>
    <n v="94109"/>
    <x v="1"/>
    <s v="TEC-AC-10003628"/>
    <x v="2"/>
    <s v="Accessories"/>
    <x v="247"/>
    <n v="209.93"/>
    <n v="7"/>
    <n v="0"/>
    <n v="92.369200000000006"/>
    <s v="Low"/>
  </r>
  <r>
    <n v="273"/>
    <s v="CA-2015-155334"/>
    <x v="117"/>
    <d v="2015-07-31T00:00:00"/>
    <s v="First Class"/>
    <s v="HA-14920"/>
    <s v="Helen Andreada"/>
    <s v="Consumer"/>
    <s v="United States"/>
    <s v="San Francisco"/>
    <s v="California"/>
    <n v="94109"/>
    <x v="1"/>
    <s v="FUR-FU-10003274"/>
    <x v="0"/>
    <s v="Furnishings"/>
    <x v="248"/>
    <n v="5.28"/>
    <n v="3"/>
    <n v="0"/>
    <n v="2.3231999999999999"/>
    <s v="Low"/>
  </r>
  <r>
    <n v="274"/>
    <s v="CA-2015-155334"/>
    <x v="117"/>
    <d v="2015-07-31T00:00:00"/>
    <s v="First Class"/>
    <s v="HA-14920"/>
    <s v="Helen Andreada"/>
    <s v="Consumer"/>
    <s v="United States"/>
    <s v="San Francisco"/>
    <s v="California"/>
    <n v="94109"/>
    <x v="1"/>
    <s v="OFF-BI-10002557"/>
    <x v="1"/>
    <s v="Binders"/>
    <x v="249"/>
    <n v="10.92"/>
    <n v="3"/>
    <n v="0.2"/>
    <n v="4.0949999999999998"/>
    <s v="Low"/>
  </r>
  <r>
    <n v="275"/>
    <s v="CA-2017-118136"/>
    <x v="118"/>
    <d v="2017-09-17T00:00:00"/>
    <s v="First Class"/>
    <s v="BB-10990"/>
    <s v="Barry Blumstein"/>
    <s v="Corporate"/>
    <s v="United States"/>
    <s v="Inglewood"/>
    <s v="California"/>
    <n v="90301"/>
    <x v="1"/>
    <s v="OFF-PA-10002615"/>
    <x v="1"/>
    <s v="Paper"/>
    <x v="250"/>
    <n v="8.82"/>
    <n v="2"/>
    <n v="0"/>
    <n v="4.0571999999999999"/>
    <s v="Low"/>
  </r>
  <r>
    <n v="276"/>
    <s v="CA-2017-118136"/>
    <x v="118"/>
    <d v="2017-09-17T00:00:00"/>
    <s v="First Class"/>
    <s v="BB-10990"/>
    <s v="Barry Blumstein"/>
    <s v="Corporate"/>
    <s v="United States"/>
    <s v="Inglewood"/>
    <s v="California"/>
    <n v="90301"/>
    <x v="1"/>
    <s v="OFF-AR-10001427"/>
    <x v="1"/>
    <s v="Art"/>
    <x v="251"/>
    <n v="5.98"/>
    <n v="1"/>
    <n v="0"/>
    <n v="1.5548"/>
    <s v="Low"/>
  </r>
  <r>
    <n v="277"/>
    <s v="CA-2017-132976"/>
    <x v="119"/>
    <d v="2017-10-17T00:00:00"/>
    <s v="Standard Class"/>
    <s v="AG-10495"/>
    <s v="Andrew Gjertsen"/>
    <s v="Corporate"/>
    <s v="United States"/>
    <s v="Philadelphia"/>
    <s v="Pennsylvania"/>
    <n v="19140"/>
    <x v="3"/>
    <s v="OFF-PA-10000673"/>
    <x v="1"/>
    <s v="Paper"/>
    <x v="252"/>
    <n v="11.648"/>
    <n v="2"/>
    <n v="0.2"/>
    <n v="4.0768000000000004"/>
    <s v="Low"/>
  </r>
  <r>
    <n v="278"/>
    <s v="CA-2017-132976"/>
    <x v="119"/>
    <d v="2017-10-17T00:00:00"/>
    <s v="Standard Class"/>
    <s v="AG-10495"/>
    <s v="Andrew Gjertsen"/>
    <s v="Corporate"/>
    <s v="United States"/>
    <s v="Philadelphia"/>
    <s v="Pennsylvania"/>
    <n v="19140"/>
    <x v="3"/>
    <s v="OFF-PA-10004470"/>
    <x v="1"/>
    <s v="Paper"/>
    <x v="253"/>
    <n v="18.175999999999998"/>
    <n v="4"/>
    <n v="0.2"/>
    <n v="5.9071999999999996"/>
    <s v="Low"/>
  </r>
  <r>
    <n v="279"/>
    <s v="CA-2017-132976"/>
    <x v="119"/>
    <d v="2017-10-17T00:00:00"/>
    <s v="Standard Class"/>
    <s v="AG-10495"/>
    <s v="Andrew Gjertsen"/>
    <s v="Corporate"/>
    <s v="United States"/>
    <s v="Philadelphia"/>
    <s v="Pennsylvania"/>
    <n v="19140"/>
    <x v="3"/>
    <s v="OFF-ST-10000876"/>
    <x v="1"/>
    <s v="Storage"/>
    <x v="254"/>
    <n v="59.712000000000003"/>
    <n v="6"/>
    <n v="0.2"/>
    <n v="5.9711999999999996"/>
    <s v="Low"/>
  </r>
  <r>
    <n v="280"/>
    <s v="CA-2017-132976"/>
    <x v="119"/>
    <d v="2017-10-17T00:00:00"/>
    <s v="Standard Class"/>
    <s v="AG-10495"/>
    <s v="Andrew Gjertsen"/>
    <s v="Corporate"/>
    <s v="United States"/>
    <s v="Philadelphia"/>
    <s v="Pennsylvania"/>
    <n v="19140"/>
    <x v="3"/>
    <s v="OFF-LA-10002043"/>
    <x v="1"/>
    <s v="Labels"/>
    <x v="255"/>
    <n v="24.84"/>
    <n v="3"/>
    <n v="0.2"/>
    <n v="8.6940000000000008"/>
    <s v="Low"/>
  </r>
  <r>
    <n v="281"/>
    <s v="US-2015-161991"/>
    <x v="120"/>
    <d v="2015-09-28T00:00:00"/>
    <s v="Second Class"/>
    <s v="SC-20725"/>
    <s v="Steven Cartwright"/>
    <s v="Consumer"/>
    <s v="United States"/>
    <s v="Houston"/>
    <s v="Texas"/>
    <n v="77070"/>
    <x v="2"/>
    <s v="OFF-BI-10004967"/>
    <x v="1"/>
    <s v="Binders"/>
    <x v="256"/>
    <n v="2.08"/>
    <n v="5"/>
    <n v="0.8"/>
    <n v="-3.4319999999999999"/>
    <s v="Low"/>
  </r>
  <r>
    <n v="282"/>
    <s v="US-2015-161991"/>
    <x v="120"/>
    <d v="2015-09-28T00:00:00"/>
    <s v="Second Class"/>
    <s v="SC-20725"/>
    <s v="Steven Cartwright"/>
    <s v="Consumer"/>
    <s v="United States"/>
    <s v="Houston"/>
    <s v="Texas"/>
    <n v="77070"/>
    <x v="2"/>
    <s v="TEC-PH-10001760"/>
    <x v="2"/>
    <s v="Phones"/>
    <x v="257"/>
    <n v="1114.4000000000001"/>
    <n v="7"/>
    <n v="0.2"/>
    <n v="376.11"/>
    <s v="High"/>
  </r>
  <r>
    <n v="283"/>
    <s v="CA-2015-130890"/>
    <x v="121"/>
    <d v="2015-11-06T00:00:00"/>
    <s v="Standard Class"/>
    <s v="JO-15280"/>
    <s v="Jas O'Carroll"/>
    <s v="Consumer"/>
    <s v="United States"/>
    <s v="Los Angeles"/>
    <s v="California"/>
    <n v="90004"/>
    <x v="1"/>
    <s v="FUR-TA-10002903"/>
    <x v="0"/>
    <s v="Tables"/>
    <x v="258"/>
    <n v="1038.8399999999999"/>
    <n v="5"/>
    <n v="0.2"/>
    <n v="51.942"/>
    <s v="High"/>
  </r>
  <r>
    <n v="284"/>
    <s v="CA-2015-130883"/>
    <x v="120"/>
    <d v="2015-10-02T00:00:00"/>
    <s v="Standard Class"/>
    <s v="TB-21520"/>
    <s v="Tracy Blumstein"/>
    <s v="Consumer"/>
    <s v="United States"/>
    <s v="Portland"/>
    <s v="Oregon"/>
    <n v="97206"/>
    <x v="1"/>
    <s v="OFF-PA-10000474"/>
    <x v="1"/>
    <s v="Paper"/>
    <x v="33"/>
    <n v="141.76"/>
    <n v="5"/>
    <n v="0.2"/>
    <n v="47.844000000000001"/>
    <s v="Low"/>
  </r>
  <r>
    <n v="285"/>
    <s v="CA-2015-130883"/>
    <x v="120"/>
    <d v="2015-10-02T00:00:00"/>
    <s v="Standard Class"/>
    <s v="TB-21520"/>
    <s v="Tracy Blumstein"/>
    <s v="Consumer"/>
    <s v="United States"/>
    <s v="Portland"/>
    <s v="Oregon"/>
    <n v="97206"/>
    <x v="1"/>
    <s v="TEC-AC-10001956"/>
    <x v="2"/>
    <s v="Accessories"/>
    <x v="259"/>
    <n v="239.8"/>
    <n v="5"/>
    <n v="0.2"/>
    <n v="47.96"/>
    <s v="Low"/>
  </r>
  <r>
    <n v="286"/>
    <s v="CA-2015-130883"/>
    <x v="120"/>
    <d v="2015-10-02T00:00:00"/>
    <s v="Standard Class"/>
    <s v="TB-21520"/>
    <s v="Tracy Blumstein"/>
    <s v="Consumer"/>
    <s v="United States"/>
    <s v="Portland"/>
    <s v="Oregon"/>
    <n v="97206"/>
    <x v="1"/>
    <s v="OFF-PA-10004100"/>
    <x v="1"/>
    <s v="Paper"/>
    <x v="260"/>
    <n v="31.103999999999999"/>
    <n v="6"/>
    <n v="0.2"/>
    <n v="10.8864"/>
    <s v="Low"/>
  </r>
  <r>
    <n v="287"/>
    <s v="CA-2016-112697"/>
    <x v="122"/>
    <d v="2016-12-20T00:00:00"/>
    <s v="Second Class"/>
    <s v="AH-10195"/>
    <s v="Alan Haines"/>
    <s v="Corporate"/>
    <s v="United States"/>
    <s v="Tamarac"/>
    <s v="Florida"/>
    <n v="33319"/>
    <x v="0"/>
    <s v="OFF-BI-10000778"/>
    <x v="1"/>
    <s v="Binders"/>
    <x v="261"/>
    <n v="254.05799999999999"/>
    <n v="7"/>
    <n v="0.7"/>
    <n v="-169.37200000000001"/>
    <s v="Low"/>
  </r>
  <r>
    <n v="288"/>
    <s v="CA-2016-112697"/>
    <x v="122"/>
    <d v="2016-12-20T00:00:00"/>
    <s v="Second Class"/>
    <s v="AH-10195"/>
    <s v="Alan Haines"/>
    <s v="Corporate"/>
    <s v="United States"/>
    <s v="Tamarac"/>
    <s v="Florida"/>
    <n v="33319"/>
    <x v="0"/>
    <s v="OFF-AP-10002684"/>
    <x v="1"/>
    <s v="Appliances"/>
    <x v="167"/>
    <n v="194.52799999999999"/>
    <n v="2"/>
    <n v="0.2"/>
    <n v="24.315999999999999"/>
    <s v="Low"/>
  </r>
  <r>
    <n v="289"/>
    <s v="CA-2016-112697"/>
    <x v="122"/>
    <d v="2016-12-20T00:00:00"/>
    <s v="Second Class"/>
    <s v="AH-10195"/>
    <s v="Alan Haines"/>
    <s v="Corporate"/>
    <s v="United States"/>
    <s v="Tamarac"/>
    <s v="Florida"/>
    <n v="33319"/>
    <x v="0"/>
    <s v="OFF-SU-10000646"/>
    <x v="1"/>
    <s v="Supplies"/>
    <x v="262"/>
    <n v="961.48"/>
    <n v="5"/>
    <n v="0.2"/>
    <n v="-204.31450000000001"/>
    <s v="High"/>
  </r>
  <r>
    <n v="290"/>
    <s v="CA-2016-110772"/>
    <x v="73"/>
    <d v="2016-11-24T00:00:00"/>
    <s v="Second Class"/>
    <s v="NZ-18565"/>
    <s v="Nick Zandusky"/>
    <s v="Home Office"/>
    <s v="United States"/>
    <s v="Columbus"/>
    <s v="Ohio"/>
    <n v="43229"/>
    <x v="3"/>
    <s v="OFF-FA-10002983"/>
    <x v="1"/>
    <s v="Fasteners"/>
    <x v="263"/>
    <n v="19.096"/>
    <n v="7"/>
    <n v="0.2"/>
    <n v="6.6836000000000002"/>
    <s v="Low"/>
  </r>
  <r>
    <n v="291"/>
    <s v="CA-2016-110772"/>
    <x v="73"/>
    <d v="2016-11-24T00:00:00"/>
    <s v="Second Class"/>
    <s v="NZ-18565"/>
    <s v="Nick Zandusky"/>
    <s v="Home Office"/>
    <s v="United States"/>
    <s v="Columbus"/>
    <s v="Ohio"/>
    <n v="43229"/>
    <x v="3"/>
    <s v="OFF-LA-10004689"/>
    <x v="1"/>
    <s v="Labels"/>
    <x v="264"/>
    <n v="18.495999999999999"/>
    <n v="8"/>
    <n v="0.2"/>
    <n v="6.2423999999999999"/>
    <s v="Low"/>
  </r>
  <r>
    <n v="292"/>
    <s v="CA-2016-110772"/>
    <x v="73"/>
    <d v="2016-11-24T00:00:00"/>
    <s v="Second Class"/>
    <s v="NZ-18565"/>
    <s v="Nick Zandusky"/>
    <s v="Home Office"/>
    <s v="United States"/>
    <s v="Columbus"/>
    <s v="Ohio"/>
    <n v="43229"/>
    <x v="3"/>
    <s v="TEC-AC-10002001"/>
    <x v="2"/>
    <s v="Accessories"/>
    <x v="265"/>
    <n v="255.98400000000001"/>
    <n v="2"/>
    <n v="0.2"/>
    <n v="54.396599999999999"/>
    <s v="Low"/>
  </r>
  <r>
    <n v="293"/>
    <s v="CA-2016-110772"/>
    <x v="73"/>
    <d v="2016-11-24T00:00:00"/>
    <s v="Second Class"/>
    <s v="NZ-18565"/>
    <s v="Nick Zandusky"/>
    <s v="Home Office"/>
    <s v="United States"/>
    <s v="Columbus"/>
    <s v="Ohio"/>
    <n v="43229"/>
    <x v="3"/>
    <s v="FUR-BO-10004709"/>
    <x v="0"/>
    <s v="Bookcases"/>
    <x v="266"/>
    <n v="86.97"/>
    <n v="3"/>
    <n v="0.5"/>
    <n v="-48.703200000000002"/>
    <s v="Low"/>
  </r>
  <r>
    <n v="294"/>
    <s v="CA-2014-111451"/>
    <x v="58"/>
    <d v="2014-12-28T00:00:00"/>
    <s v="First Class"/>
    <s v="KL-16555"/>
    <s v="Kelly Lampkin"/>
    <s v="Corporate"/>
    <s v="United States"/>
    <s v="Colorado Springs"/>
    <s v="Colorado"/>
    <n v="80906"/>
    <x v="1"/>
    <s v="FUR-FU-10004091"/>
    <x v="0"/>
    <s v="Furnishings"/>
    <x v="267"/>
    <n v="300.416"/>
    <n v="8"/>
    <n v="0.2"/>
    <n v="78.859200000000001"/>
    <s v="Low"/>
  </r>
  <r>
    <n v="295"/>
    <s v="CA-2014-111451"/>
    <x v="58"/>
    <d v="2014-12-28T00:00:00"/>
    <s v="First Class"/>
    <s v="KL-16555"/>
    <s v="Kelly Lampkin"/>
    <s v="Corporate"/>
    <s v="United States"/>
    <s v="Colorado Springs"/>
    <s v="Colorado"/>
    <n v="80906"/>
    <x v="1"/>
    <s v="FUR-CH-10001891"/>
    <x v="0"/>
    <s v="Chairs"/>
    <x v="268"/>
    <n v="230.352"/>
    <n v="3"/>
    <n v="0.2"/>
    <n v="20.155799999999999"/>
    <s v="Low"/>
  </r>
  <r>
    <n v="296"/>
    <s v="CA-2014-111451"/>
    <x v="58"/>
    <d v="2014-12-28T00:00:00"/>
    <s v="First Class"/>
    <s v="KL-16555"/>
    <s v="Kelly Lampkin"/>
    <s v="Corporate"/>
    <s v="United States"/>
    <s v="Colorado Springs"/>
    <s v="Colorado"/>
    <n v="80906"/>
    <x v="1"/>
    <s v="FUR-FU-10002918"/>
    <x v="0"/>
    <s v="Furnishings"/>
    <x v="269"/>
    <n v="218.352"/>
    <n v="3"/>
    <n v="0.2"/>
    <n v="-24.564599999999999"/>
    <s v="Low"/>
  </r>
  <r>
    <n v="297"/>
    <s v="CA-2014-111451"/>
    <x v="58"/>
    <d v="2014-12-28T00:00:00"/>
    <s v="First Class"/>
    <s v="KL-16555"/>
    <s v="Kelly Lampkin"/>
    <s v="Corporate"/>
    <s v="United States"/>
    <s v="Colorado Springs"/>
    <s v="Colorado"/>
    <n v="80906"/>
    <x v="1"/>
    <s v="OFF-BI-10004593"/>
    <x v="1"/>
    <s v="Binders"/>
    <x v="270"/>
    <n v="78.599999999999994"/>
    <n v="5"/>
    <n v="0.7"/>
    <n v="-62.88"/>
    <s v="Low"/>
  </r>
  <r>
    <n v="298"/>
    <s v="CA-2014-111451"/>
    <x v="58"/>
    <d v="2014-12-28T00:00:00"/>
    <s v="First Class"/>
    <s v="KL-16555"/>
    <s v="Kelly Lampkin"/>
    <s v="Corporate"/>
    <s v="United States"/>
    <s v="Colorado Springs"/>
    <s v="Colorado"/>
    <n v="80906"/>
    <x v="1"/>
    <s v="OFF-FA-10004854"/>
    <x v="1"/>
    <s v="Fasteners"/>
    <x v="271"/>
    <n v="27.552"/>
    <n v="3"/>
    <n v="0.2"/>
    <n v="9.2988"/>
    <s v="Low"/>
  </r>
  <r>
    <n v="299"/>
    <s v="CA-2016-142545"/>
    <x v="99"/>
    <d v="2016-11-03T00:00:00"/>
    <s v="Standard Class"/>
    <s v="JD-15895"/>
    <s v="Jonathan Doherty"/>
    <s v="Corporate"/>
    <s v="United States"/>
    <s v="Belleville"/>
    <s v="New Jersey"/>
    <n v="7109"/>
    <x v="3"/>
    <s v="OFF-PA-10002105"/>
    <x v="1"/>
    <s v="Paper"/>
    <x v="272"/>
    <n v="32.4"/>
    <n v="5"/>
    <n v="0"/>
    <n v="15.552"/>
    <s v="Low"/>
  </r>
  <r>
    <n v="300"/>
    <s v="CA-2016-142545"/>
    <x v="99"/>
    <d v="2016-11-03T00:00:00"/>
    <s v="Standard Class"/>
    <s v="JD-15895"/>
    <s v="Jonathan Doherty"/>
    <s v="Corporate"/>
    <s v="United States"/>
    <s v="Belleville"/>
    <s v="New Jersey"/>
    <n v="7109"/>
    <x v="3"/>
    <s v="OFF-ST-10002756"/>
    <x v="1"/>
    <s v="Storage"/>
    <x v="273"/>
    <n v="1082.48"/>
    <n v="8"/>
    <n v="0"/>
    <n v="10.8248"/>
    <s v="High"/>
  </r>
  <r>
    <n v="301"/>
    <s v="CA-2016-142545"/>
    <x v="99"/>
    <d v="2016-11-03T00:00:00"/>
    <s v="Standard Class"/>
    <s v="JD-15895"/>
    <s v="Jonathan Doherty"/>
    <s v="Corporate"/>
    <s v="United States"/>
    <s v="Belleville"/>
    <s v="New Jersey"/>
    <n v="7109"/>
    <x v="3"/>
    <s v="OFF-PA-10004243"/>
    <x v="1"/>
    <s v="Paper"/>
    <x v="274"/>
    <n v="56.91"/>
    <n v="3"/>
    <n v="0"/>
    <n v="27.316800000000001"/>
    <s v="Low"/>
  </r>
  <r>
    <n v="302"/>
    <s v="CA-2016-142545"/>
    <x v="99"/>
    <d v="2016-11-03T00:00:00"/>
    <s v="Standard Class"/>
    <s v="JD-15895"/>
    <s v="Jonathan Doherty"/>
    <s v="Corporate"/>
    <s v="United States"/>
    <s v="Belleville"/>
    <s v="New Jersey"/>
    <n v="7109"/>
    <x v="3"/>
    <s v="FUR-FU-10001861"/>
    <x v="0"/>
    <s v="Furnishings"/>
    <x v="275"/>
    <n v="77.599999999999994"/>
    <n v="4"/>
    <n v="0"/>
    <n v="38.024000000000001"/>
    <s v="Low"/>
  </r>
  <r>
    <n v="303"/>
    <s v="CA-2016-142545"/>
    <x v="99"/>
    <d v="2016-11-03T00:00:00"/>
    <s v="Standard Class"/>
    <s v="JD-15895"/>
    <s v="Jonathan Doherty"/>
    <s v="Corporate"/>
    <s v="United States"/>
    <s v="Belleville"/>
    <s v="New Jersey"/>
    <n v="7109"/>
    <x v="3"/>
    <s v="OFF-BI-10002706"/>
    <x v="1"/>
    <s v="Binders"/>
    <x v="276"/>
    <n v="14.28"/>
    <n v="1"/>
    <n v="0"/>
    <n v="6.5688000000000004"/>
    <s v="Low"/>
  </r>
  <r>
    <n v="304"/>
    <s v="US-2017-152380"/>
    <x v="123"/>
    <d v="2017-11-23T00:00:00"/>
    <s v="Standard Class"/>
    <s v="JH-15910"/>
    <s v="Jonathan Howell"/>
    <s v="Consumer"/>
    <s v="United States"/>
    <s v="Chicago"/>
    <s v="Illinois"/>
    <n v="60623"/>
    <x v="2"/>
    <s v="FUR-TA-10002533"/>
    <x v="0"/>
    <s v="Tables"/>
    <x v="277"/>
    <n v="219.07499999999999"/>
    <n v="3"/>
    <n v="0.5"/>
    <n v="-131.44499999999999"/>
    <s v="Low"/>
  </r>
  <r>
    <n v="305"/>
    <s v="CA-2015-144253"/>
    <x v="124"/>
    <d v="2015-05-09T00:00:00"/>
    <s v="Second Class"/>
    <s v="AS-10225"/>
    <s v="Alan Schoenberger"/>
    <s v="Corporate"/>
    <s v="United States"/>
    <s v="New York City"/>
    <s v="New York"/>
    <n v="10024"/>
    <x v="3"/>
    <s v="FUR-FU-10002671"/>
    <x v="0"/>
    <s v="Furnishings"/>
    <x v="278"/>
    <n v="26.8"/>
    <n v="2"/>
    <n v="0"/>
    <n v="12.864000000000001"/>
    <s v="Low"/>
  </r>
  <r>
    <n v="306"/>
    <s v="CA-2014-130960"/>
    <x v="125"/>
    <d v="2015-01-04T00:00:00"/>
    <s v="Standard Class"/>
    <s v="KB-16600"/>
    <s v="Ken Brennan"/>
    <s v="Corporate"/>
    <s v="United States"/>
    <s v="Taylor"/>
    <s v="Michigan"/>
    <n v="48180"/>
    <x v="2"/>
    <s v="OFF-AR-10003651"/>
    <x v="1"/>
    <s v="Art"/>
    <x v="279"/>
    <n v="9.84"/>
    <n v="3"/>
    <n v="0"/>
    <n v="2.8536000000000001"/>
    <s v="Low"/>
  </r>
  <r>
    <n v="307"/>
    <s v="CA-2014-111003"/>
    <x v="106"/>
    <d v="2014-06-06T00:00:00"/>
    <s v="Standard Class"/>
    <s v="CR-12625"/>
    <s v="Corey Roper"/>
    <s v="Home Office"/>
    <s v="United States"/>
    <s v="Lakewood"/>
    <s v="New Jersey"/>
    <n v="8701"/>
    <x v="3"/>
    <s v="OFF-BI-10001072"/>
    <x v="1"/>
    <s v="Binders"/>
    <x v="280"/>
    <n v="45.48"/>
    <n v="3"/>
    <n v="0"/>
    <n v="20.9208"/>
    <s v="Low"/>
  </r>
  <r>
    <n v="308"/>
    <s v="CA-2014-111003"/>
    <x v="106"/>
    <d v="2014-06-06T00:00:00"/>
    <s v="Standard Class"/>
    <s v="CR-12625"/>
    <s v="Corey Roper"/>
    <s v="Home Office"/>
    <s v="United States"/>
    <s v="Lakewood"/>
    <s v="New Jersey"/>
    <n v="8701"/>
    <x v="3"/>
    <s v="OFF-AR-10002135"/>
    <x v="1"/>
    <s v="Art"/>
    <x v="281"/>
    <n v="289.2"/>
    <n v="6"/>
    <n v="0"/>
    <n v="83.867999999999995"/>
    <s v="Low"/>
  </r>
  <r>
    <n v="309"/>
    <s v="CA-2017-126774"/>
    <x v="4"/>
    <d v="2017-04-17T00:00:00"/>
    <s v="First Class"/>
    <s v="SH-20395"/>
    <s v="Shahid Hopkins"/>
    <s v="Consumer"/>
    <s v="United States"/>
    <s v="Arlington"/>
    <s v="Virginia"/>
    <n v="22204"/>
    <x v="0"/>
    <s v="OFF-AR-10002804"/>
    <x v="1"/>
    <s v="Art"/>
    <x v="282"/>
    <n v="4.8899999999999997"/>
    <n v="1"/>
    <n v="0"/>
    <n v="2.0049000000000001"/>
    <s v="Low"/>
  </r>
  <r>
    <n v="310"/>
    <s v="CA-2016-142902"/>
    <x v="126"/>
    <d v="2016-09-14T00:00:00"/>
    <s v="Second Class"/>
    <s v="BP-11185"/>
    <s v="Ben Peterman"/>
    <s v="Corporate"/>
    <s v="United States"/>
    <s v="Arvada"/>
    <s v="Colorado"/>
    <n v="80004"/>
    <x v="1"/>
    <s v="FUR-FU-10001918"/>
    <x v="0"/>
    <s v="Furnishings"/>
    <x v="283"/>
    <n v="15.135999999999999"/>
    <n v="4"/>
    <n v="0.2"/>
    <n v="3.5948000000000002"/>
    <s v="Low"/>
  </r>
  <r>
    <n v="311"/>
    <s v="CA-2016-142902"/>
    <x v="126"/>
    <d v="2016-09-14T00:00:00"/>
    <s v="Second Class"/>
    <s v="BP-11185"/>
    <s v="Ben Peterman"/>
    <s v="Corporate"/>
    <s v="United States"/>
    <s v="Arvada"/>
    <s v="Colorado"/>
    <n v="80004"/>
    <x v="1"/>
    <s v="FUR-CH-10004086"/>
    <x v="0"/>
    <s v="Chairs"/>
    <x v="284"/>
    <n v="466.76799999999997"/>
    <n v="2"/>
    <n v="0.2"/>
    <n v="52.511400000000002"/>
    <s v="Low"/>
  </r>
  <r>
    <n v="312"/>
    <s v="CA-2016-142902"/>
    <x v="126"/>
    <d v="2016-09-14T00:00:00"/>
    <s v="Second Class"/>
    <s v="BP-11185"/>
    <s v="Ben Peterman"/>
    <s v="Corporate"/>
    <s v="United States"/>
    <s v="Arvada"/>
    <s v="Colorado"/>
    <n v="80004"/>
    <x v="1"/>
    <s v="FUR-FU-10001756"/>
    <x v="0"/>
    <s v="Furnishings"/>
    <x v="285"/>
    <n v="15.231999999999999"/>
    <n v="1"/>
    <n v="0.2"/>
    <n v="1.7136"/>
    <s v="Low"/>
  </r>
  <r>
    <n v="313"/>
    <s v="CA-2016-142902"/>
    <x v="126"/>
    <d v="2016-09-14T00:00:00"/>
    <s v="Second Class"/>
    <s v="BP-11185"/>
    <s v="Ben Peterman"/>
    <s v="Corporate"/>
    <s v="United States"/>
    <s v="Arvada"/>
    <s v="Colorado"/>
    <n v="80004"/>
    <x v="1"/>
    <s v="OFF-LA-10000634"/>
    <x v="1"/>
    <s v="Labels"/>
    <x v="286"/>
    <n v="6.2640000000000002"/>
    <n v="3"/>
    <n v="0.2"/>
    <n v="2.0358000000000001"/>
    <s v="Low"/>
  </r>
  <r>
    <n v="314"/>
    <s v="CA-2014-120887"/>
    <x v="127"/>
    <d v="2014-10-03T00:00:00"/>
    <s v="Standard Class"/>
    <s v="TS-21205"/>
    <s v="Thomas Seio"/>
    <s v="Corporate"/>
    <s v="United States"/>
    <s v="Hackensack"/>
    <s v="New Jersey"/>
    <n v="7601"/>
    <x v="3"/>
    <s v="FUR-FU-10001588"/>
    <x v="0"/>
    <s v="Furnishings"/>
    <x v="287"/>
    <n v="87.54"/>
    <n v="3"/>
    <n v="0"/>
    <n v="37.642200000000003"/>
    <s v="Low"/>
  </r>
  <r>
    <n v="315"/>
    <s v="CA-2014-167850"/>
    <x v="128"/>
    <d v="2014-08-16T00:00:00"/>
    <s v="Standard Class"/>
    <s v="AG-10525"/>
    <s v="Andy Gerbode"/>
    <s v="Corporate"/>
    <s v="United States"/>
    <s v="Saint Petersburg"/>
    <s v="Florida"/>
    <n v="33710"/>
    <x v="0"/>
    <s v="TEC-PH-10002398"/>
    <x v="2"/>
    <s v="Phones"/>
    <x v="288"/>
    <n v="178.38399999999999"/>
    <n v="2"/>
    <n v="0.2"/>
    <n v="22.297999999999998"/>
    <s v="Low"/>
  </r>
  <r>
    <n v="316"/>
    <s v="CA-2014-167850"/>
    <x v="128"/>
    <d v="2014-08-16T00:00:00"/>
    <s v="Standard Class"/>
    <s v="AG-10525"/>
    <s v="Andy Gerbode"/>
    <s v="Corporate"/>
    <s v="United States"/>
    <s v="Saint Petersburg"/>
    <s v="Florida"/>
    <n v="33710"/>
    <x v="0"/>
    <s v="OFF-PA-10001937"/>
    <x v="1"/>
    <s v="Paper"/>
    <x v="289"/>
    <n v="15.552"/>
    <n v="3"/>
    <n v="0.2"/>
    <n v="5.4432"/>
    <s v="Low"/>
  </r>
  <r>
    <n v="317"/>
    <s v="CA-2014-164259"/>
    <x v="129"/>
    <d v="2014-12-30T00:00:00"/>
    <s v="First Class"/>
    <s v="SP-20860"/>
    <s v="Sung Pak"/>
    <s v="Corporate"/>
    <s v="United States"/>
    <s v="Philadelphia"/>
    <s v="Pennsylvania"/>
    <n v="19143"/>
    <x v="3"/>
    <s v="OFF-AR-10003373"/>
    <x v="1"/>
    <s v="Art"/>
    <x v="290"/>
    <n v="99.135999999999996"/>
    <n v="4"/>
    <n v="0.2"/>
    <n v="8.6744000000000003"/>
    <s v="Low"/>
  </r>
  <r>
    <n v="318"/>
    <s v="CA-2014-164973"/>
    <x v="130"/>
    <d v="2014-11-09T00:00:00"/>
    <s v="Standard Class"/>
    <s v="NM-18445"/>
    <s v="Nathan Mautz"/>
    <s v="Home Office"/>
    <s v="United States"/>
    <s v="New York City"/>
    <s v="New York"/>
    <n v="10024"/>
    <x v="3"/>
    <s v="FUR-CH-10002602"/>
    <x v="0"/>
    <s v="Chairs"/>
    <x v="291"/>
    <n v="135.88200000000001"/>
    <n v="1"/>
    <n v="0.1"/>
    <n v="24.1568"/>
    <s v="Low"/>
  </r>
  <r>
    <n v="319"/>
    <s v="CA-2014-164973"/>
    <x v="130"/>
    <d v="2014-11-09T00:00:00"/>
    <s v="Standard Class"/>
    <s v="NM-18445"/>
    <s v="Nathan Mautz"/>
    <s v="Home Office"/>
    <s v="United States"/>
    <s v="New York City"/>
    <s v="New York"/>
    <n v="10024"/>
    <x v="3"/>
    <s v="TEC-MA-10002927"/>
    <x v="2"/>
    <s v="Machines"/>
    <x v="292"/>
    <n v="3991.98"/>
    <n v="2"/>
    <n v="0"/>
    <n v="1995.99"/>
    <s v="High"/>
  </r>
  <r>
    <n v="320"/>
    <s v="CA-2014-164973"/>
    <x v="130"/>
    <d v="2014-11-09T00:00:00"/>
    <s v="Standard Class"/>
    <s v="NM-18445"/>
    <s v="Nathan Mautz"/>
    <s v="Home Office"/>
    <s v="United States"/>
    <s v="New York City"/>
    <s v="New York"/>
    <n v="10024"/>
    <x v="3"/>
    <s v="TEC-PH-10004093"/>
    <x v="2"/>
    <s v="Phones"/>
    <x v="40"/>
    <n v="275.94"/>
    <n v="6"/>
    <n v="0"/>
    <n v="80.022599999999997"/>
    <s v="Low"/>
  </r>
  <r>
    <n v="321"/>
    <s v="CA-2014-164973"/>
    <x v="130"/>
    <d v="2014-11-09T00:00:00"/>
    <s v="Standard Class"/>
    <s v="NM-18445"/>
    <s v="Nathan Mautz"/>
    <s v="Home Office"/>
    <s v="United States"/>
    <s v="New York City"/>
    <s v="New York"/>
    <n v="10024"/>
    <x v="3"/>
    <s v="TEC-AC-10000892"/>
    <x v="2"/>
    <s v="Accessories"/>
    <x v="293"/>
    <n v="360"/>
    <n v="4"/>
    <n v="0"/>
    <n v="129.6"/>
    <s v="Low"/>
  </r>
  <r>
    <n v="322"/>
    <s v="CA-2014-164973"/>
    <x v="130"/>
    <d v="2014-11-09T00:00:00"/>
    <s v="Standard Class"/>
    <s v="NM-18445"/>
    <s v="Nathan Mautz"/>
    <s v="Home Office"/>
    <s v="United States"/>
    <s v="New York City"/>
    <s v="New York"/>
    <n v="10024"/>
    <x v="3"/>
    <s v="OFF-ST-10002974"/>
    <x v="1"/>
    <s v="Storage"/>
    <x v="123"/>
    <n v="43.57"/>
    <n v="1"/>
    <n v="0"/>
    <n v="13.071"/>
    <s v="Low"/>
  </r>
  <r>
    <n v="323"/>
    <s v="CA-2014-156601"/>
    <x v="111"/>
    <d v="2014-09-24T00:00:00"/>
    <s v="Standard Class"/>
    <s v="FA-14230"/>
    <s v="Frank Atkinson"/>
    <s v="Corporate"/>
    <s v="United States"/>
    <s v="Long Beach"/>
    <s v="California"/>
    <n v="90805"/>
    <x v="1"/>
    <s v="OFF-FA-10000624"/>
    <x v="1"/>
    <s v="Fasteners"/>
    <x v="294"/>
    <n v="7.16"/>
    <n v="2"/>
    <n v="0"/>
    <n v="3.58"/>
    <s v="Low"/>
  </r>
  <r>
    <n v="324"/>
    <s v="CA-2016-162138"/>
    <x v="131"/>
    <d v="2016-04-27T00:00:00"/>
    <s v="Standard Class"/>
    <s v="GK-14620"/>
    <s v="Grace Kelly"/>
    <s v="Corporate"/>
    <s v="United States"/>
    <s v="Hesperia"/>
    <s v="California"/>
    <n v="92345"/>
    <x v="1"/>
    <s v="OFF-BI-10004593"/>
    <x v="1"/>
    <s v="Binders"/>
    <x v="270"/>
    <n v="251.52"/>
    <n v="6"/>
    <n v="0.2"/>
    <n v="81.744"/>
    <s v="Low"/>
  </r>
  <r>
    <n v="325"/>
    <s v="CA-2016-162138"/>
    <x v="131"/>
    <d v="2016-04-27T00:00:00"/>
    <s v="Standard Class"/>
    <s v="GK-14620"/>
    <s v="Grace Kelly"/>
    <s v="Corporate"/>
    <s v="United States"/>
    <s v="Hesperia"/>
    <s v="California"/>
    <n v="92345"/>
    <x v="1"/>
    <s v="TEC-AC-10001908"/>
    <x v="2"/>
    <s v="Accessories"/>
    <x v="295"/>
    <n v="99.99"/>
    <n v="1"/>
    <n v="0"/>
    <n v="34.996499999999997"/>
    <s v="Low"/>
  </r>
  <r>
    <n v="326"/>
    <s v="CA-2017-153339"/>
    <x v="132"/>
    <d v="2017-11-05T00:00:00"/>
    <s v="Second Class"/>
    <s v="DJ-13510"/>
    <s v="Don Jones"/>
    <s v="Corporate"/>
    <s v="United States"/>
    <s v="Murfreesboro"/>
    <s v="Tennessee"/>
    <n v="37130"/>
    <x v="0"/>
    <s v="FUR-FU-10001967"/>
    <x v="0"/>
    <s v="Furnishings"/>
    <x v="296"/>
    <n v="15.992000000000001"/>
    <n v="1"/>
    <n v="0.2"/>
    <n v="0.99950000000000006"/>
    <s v="Low"/>
  </r>
  <r>
    <n v="327"/>
    <s v="US-2016-141544"/>
    <x v="133"/>
    <d v="2016-09-01T00:00:00"/>
    <s v="First Class"/>
    <s v="PO-18850"/>
    <s v="Patrick O'Brill"/>
    <s v="Consumer"/>
    <s v="United States"/>
    <s v="Philadelphia"/>
    <s v="Pennsylvania"/>
    <n v="19143"/>
    <x v="3"/>
    <s v="TEC-PH-10003645"/>
    <x v="2"/>
    <s v="Phones"/>
    <x v="297"/>
    <n v="290.89800000000002"/>
    <n v="3"/>
    <n v="0.4"/>
    <n v="-67.876199999999997"/>
    <s v="Low"/>
  </r>
  <r>
    <n v="328"/>
    <s v="US-2016-141544"/>
    <x v="133"/>
    <d v="2016-09-01T00:00:00"/>
    <s v="First Class"/>
    <s v="PO-18850"/>
    <s v="Patrick O'Brill"/>
    <s v="Consumer"/>
    <s v="United States"/>
    <s v="Philadelphia"/>
    <s v="Pennsylvania"/>
    <n v="19143"/>
    <x v="3"/>
    <s v="OFF-ST-10000675"/>
    <x v="1"/>
    <s v="Storage"/>
    <x v="298"/>
    <n v="54.223999999999997"/>
    <n v="2"/>
    <n v="0.2"/>
    <n v="3.3889999999999998"/>
    <s v="Low"/>
  </r>
  <r>
    <n v="329"/>
    <s v="US-2016-141544"/>
    <x v="133"/>
    <d v="2016-09-01T00:00:00"/>
    <s v="First Class"/>
    <s v="PO-18850"/>
    <s v="Patrick O'Brill"/>
    <s v="Consumer"/>
    <s v="United States"/>
    <s v="Philadelphia"/>
    <s v="Pennsylvania"/>
    <n v="19143"/>
    <x v="3"/>
    <s v="FUR-CH-10003312"/>
    <x v="0"/>
    <s v="Chairs"/>
    <x v="299"/>
    <n v="786.74400000000003"/>
    <n v="4"/>
    <n v="0.3"/>
    <n v="-258.5016"/>
    <s v="High"/>
  </r>
  <r>
    <n v="330"/>
    <s v="US-2016-141544"/>
    <x v="133"/>
    <d v="2016-09-01T00:00:00"/>
    <s v="First Class"/>
    <s v="PO-18850"/>
    <s v="Patrick O'Brill"/>
    <s v="Consumer"/>
    <s v="United States"/>
    <s v="Philadelphia"/>
    <s v="Pennsylvania"/>
    <n v="19143"/>
    <x v="3"/>
    <s v="OFF-LA-10001074"/>
    <x v="1"/>
    <s v="Labels"/>
    <x v="300"/>
    <n v="100.24"/>
    <n v="10"/>
    <n v="0.2"/>
    <n v="33.831000000000003"/>
    <s v="Low"/>
  </r>
  <r>
    <n v="331"/>
    <s v="US-2016-141544"/>
    <x v="133"/>
    <d v="2016-09-01T00:00:00"/>
    <s v="First Class"/>
    <s v="PO-18850"/>
    <s v="Patrick O'Brill"/>
    <s v="Consumer"/>
    <s v="United States"/>
    <s v="Philadelphia"/>
    <s v="Pennsylvania"/>
    <n v="19143"/>
    <x v="3"/>
    <s v="OFF-BI-10001524"/>
    <x v="1"/>
    <s v="Binders"/>
    <x v="301"/>
    <n v="37.764000000000003"/>
    <n v="6"/>
    <n v="0.7"/>
    <n v="-27.6936"/>
    <s v="Low"/>
  </r>
  <r>
    <n v="332"/>
    <s v="US-2016-150147"/>
    <x v="134"/>
    <d v="2016-04-29T00:00:00"/>
    <s v="Second Class"/>
    <s v="JL-15850"/>
    <s v="John Lucas"/>
    <s v="Consumer"/>
    <s v="United States"/>
    <s v="Philadelphia"/>
    <s v="Pennsylvania"/>
    <n v="19134"/>
    <x v="3"/>
    <s v="TEC-PH-10004614"/>
    <x v="2"/>
    <s v="Phones"/>
    <x v="302"/>
    <n v="82.8"/>
    <n v="2"/>
    <n v="0.4"/>
    <n v="-20.7"/>
    <s v="Low"/>
  </r>
  <r>
    <n v="333"/>
    <s v="US-2016-150147"/>
    <x v="134"/>
    <d v="2016-04-29T00:00:00"/>
    <s v="Second Class"/>
    <s v="JL-15850"/>
    <s v="John Lucas"/>
    <s v="Consumer"/>
    <s v="United States"/>
    <s v="Philadelphia"/>
    <s v="Pennsylvania"/>
    <n v="19134"/>
    <x v="3"/>
    <s v="OFF-BI-10001153"/>
    <x v="1"/>
    <s v="Binders"/>
    <x v="303"/>
    <n v="20.724"/>
    <n v="2"/>
    <n v="0.7"/>
    <n v="-13.816000000000001"/>
    <s v="Low"/>
  </r>
  <r>
    <n v="334"/>
    <s v="US-2016-150147"/>
    <x v="134"/>
    <d v="2016-04-29T00:00:00"/>
    <s v="Second Class"/>
    <s v="JL-15850"/>
    <s v="John Lucas"/>
    <s v="Consumer"/>
    <s v="United States"/>
    <s v="Philadelphia"/>
    <s v="Pennsylvania"/>
    <n v="19134"/>
    <x v="3"/>
    <s v="OFF-BI-10001982"/>
    <x v="1"/>
    <s v="Binders"/>
    <x v="304"/>
    <n v="4.8959999999999999"/>
    <n v="3"/>
    <n v="0.7"/>
    <n v="-3.4272"/>
    <s v="Low"/>
  </r>
  <r>
    <n v="335"/>
    <s v="CA-2015-137946"/>
    <x v="135"/>
    <d v="2015-09-04T00:00:00"/>
    <s v="Second Class"/>
    <s v="DB-13615"/>
    <s v="Doug Bickford"/>
    <s v="Consumer"/>
    <s v="United States"/>
    <s v="Los Angeles"/>
    <s v="California"/>
    <n v="90045"/>
    <x v="1"/>
    <s v="OFF-BI-10001922"/>
    <x v="1"/>
    <s v="Binders"/>
    <x v="305"/>
    <n v="4.7519999999999998"/>
    <n v="1"/>
    <n v="0.2"/>
    <n v="1.6037999999999999"/>
    <s v="Low"/>
  </r>
  <r>
    <n v="336"/>
    <s v="CA-2015-137946"/>
    <x v="135"/>
    <d v="2015-09-04T00:00:00"/>
    <s v="Second Class"/>
    <s v="DB-13615"/>
    <s v="Doug Bickford"/>
    <s v="Consumer"/>
    <s v="United States"/>
    <s v="Los Angeles"/>
    <s v="California"/>
    <n v="90045"/>
    <x v="1"/>
    <s v="TEC-CO-10001449"/>
    <x v="2"/>
    <s v="Copiers"/>
    <x v="306"/>
    <n v="959.98400000000004"/>
    <n v="2"/>
    <n v="0.2"/>
    <n v="335.99439999999998"/>
    <s v="High"/>
  </r>
  <r>
    <n v="337"/>
    <s v="CA-2015-137946"/>
    <x v="135"/>
    <d v="2015-09-04T00:00:00"/>
    <s v="Second Class"/>
    <s v="DB-13615"/>
    <s v="Doug Bickford"/>
    <s v="Consumer"/>
    <s v="United States"/>
    <s v="Los Angeles"/>
    <s v="California"/>
    <n v="90045"/>
    <x v="1"/>
    <s v="OFF-BI-10004140"/>
    <x v="1"/>
    <s v="Binders"/>
    <x v="307"/>
    <n v="14.368"/>
    <n v="4"/>
    <n v="0.2"/>
    <n v="4.49"/>
    <s v="Low"/>
  </r>
  <r>
    <n v="338"/>
    <s v="CA-2014-129924"/>
    <x v="136"/>
    <d v="2014-07-17T00:00:00"/>
    <s v="Standard Class"/>
    <s v="AC-10420"/>
    <s v="Alyssa Crouse"/>
    <s v="Corporate"/>
    <s v="United States"/>
    <s v="San Francisco"/>
    <s v="California"/>
    <n v="94122"/>
    <x v="1"/>
    <s v="OFF-BI-10003314"/>
    <x v="1"/>
    <s v="Binders"/>
    <x v="308"/>
    <n v="7.7119999999999997"/>
    <n v="2"/>
    <n v="0.2"/>
    <n v="2.7955999999999999"/>
    <s v="Low"/>
  </r>
  <r>
    <n v="339"/>
    <s v="CA-2014-129924"/>
    <x v="136"/>
    <d v="2014-07-17T00:00:00"/>
    <s v="Standard Class"/>
    <s v="AC-10420"/>
    <s v="Alyssa Crouse"/>
    <s v="Corporate"/>
    <s v="United States"/>
    <s v="San Francisco"/>
    <s v="California"/>
    <n v="94122"/>
    <x v="1"/>
    <s v="FUR-TA-10004575"/>
    <x v="0"/>
    <s v="Tables"/>
    <x v="309"/>
    <n v="698.35199999999998"/>
    <n v="3"/>
    <n v="0.2"/>
    <n v="-17.4588"/>
    <s v="High"/>
  </r>
  <r>
    <n v="340"/>
    <s v="CA-2015-128167"/>
    <x v="137"/>
    <d v="2015-06-26T00:00:00"/>
    <s v="Second Class"/>
    <s v="KL-16645"/>
    <s v="Ken Lonsdale"/>
    <s v="Consumer"/>
    <s v="United States"/>
    <s v="Layton"/>
    <s v="Utah"/>
    <n v="84041"/>
    <x v="1"/>
    <s v="OFF-FA-10000490"/>
    <x v="1"/>
    <s v="Fasteners"/>
    <x v="310"/>
    <n v="4.96"/>
    <n v="4"/>
    <n v="0"/>
    <n v="2.3311999999999999"/>
    <s v="Low"/>
  </r>
  <r>
    <n v="341"/>
    <s v="CA-2014-122336"/>
    <x v="138"/>
    <d v="2014-04-17T00:00:00"/>
    <s v="Second Class"/>
    <s v="JD-15895"/>
    <s v="Jonathan Doherty"/>
    <s v="Corporate"/>
    <s v="United States"/>
    <s v="Philadelphia"/>
    <s v="Pennsylvania"/>
    <n v="19140"/>
    <x v="3"/>
    <s v="OFF-AR-10000122"/>
    <x v="1"/>
    <s v="Art"/>
    <x v="311"/>
    <n v="17.856000000000002"/>
    <n v="4"/>
    <n v="0.2"/>
    <n v="1.1160000000000001"/>
    <s v="Low"/>
  </r>
  <r>
    <n v="342"/>
    <s v="CA-2014-122336"/>
    <x v="138"/>
    <d v="2014-04-17T00:00:00"/>
    <s v="Second Class"/>
    <s v="JD-15895"/>
    <s v="Jonathan Doherty"/>
    <s v="Corporate"/>
    <s v="United States"/>
    <s v="Philadelphia"/>
    <s v="Pennsylvania"/>
    <n v="19140"/>
    <x v="3"/>
    <s v="OFF-BI-10003656"/>
    <x v="1"/>
    <s v="Binders"/>
    <x v="13"/>
    <n v="509.97"/>
    <n v="10"/>
    <n v="0.7"/>
    <n v="-407.976"/>
    <s v="High"/>
  </r>
  <r>
    <n v="343"/>
    <s v="CA-2014-122336"/>
    <x v="138"/>
    <d v="2014-04-17T00:00:00"/>
    <s v="Second Class"/>
    <s v="JD-15895"/>
    <s v="Jonathan Doherty"/>
    <s v="Corporate"/>
    <s v="United States"/>
    <s v="Philadelphia"/>
    <s v="Pennsylvania"/>
    <n v="19140"/>
    <x v="3"/>
    <s v="OFF-FA-10002780"/>
    <x v="1"/>
    <s v="Fasteners"/>
    <x v="128"/>
    <n v="30.992000000000001"/>
    <n v="13"/>
    <n v="0.2"/>
    <n v="10.0724"/>
    <s v="Low"/>
  </r>
  <r>
    <n v="344"/>
    <s v="CA-2014-122336"/>
    <x v="138"/>
    <d v="2014-04-17T00:00:00"/>
    <s v="Second Class"/>
    <s v="JD-15895"/>
    <s v="Jonathan Doherty"/>
    <s v="Corporate"/>
    <s v="United States"/>
    <s v="Philadelphia"/>
    <s v="Pennsylvania"/>
    <n v="19140"/>
    <x v="3"/>
    <s v="TEC-PH-10000702"/>
    <x v="2"/>
    <s v="Phones"/>
    <x v="312"/>
    <n v="71.927999999999997"/>
    <n v="12"/>
    <n v="0.4"/>
    <n v="8.3916000000000004"/>
    <s v="Low"/>
  </r>
  <r>
    <n v="345"/>
    <s v="US-2015-120712"/>
    <x v="139"/>
    <d v="2015-12-24T00:00:00"/>
    <s v="Standard Class"/>
    <s v="CS-12130"/>
    <s v="Chad Sievert"/>
    <s v="Consumer"/>
    <s v="United States"/>
    <s v="Austin"/>
    <s v="Texas"/>
    <n v="78745"/>
    <x v="2"/>
    <s v="OFF-ST-10000107"/>
    <x v="1"/>
    <s v="Storage"/>
    <x v="17"/>
    <n v="88.8"/>
    <n v="4"/>
    <n v="0.2"/>
    <n v="-2.2200000000000002"/>
    <s v="Low"/>
  </r>
  <r>
    <n v="346"/>
    <s v="CA-2017-169901"/>
    <x v="140"/>
    <d v="2017-06-19T00:00:00"/>
    <s v="Standard Class"/>
    <s v="CC-12550"/>
    <s v="Clay Cheatham"/>
    <s v="Consumer"/>
    <s v="United States"/>
    <s v="San Francisco"/>
    <s v="California"/>
    <n v="94122"/>
    <x v="1"/>
    <s v="TEC-PH-10002293"/>
    <x v="2"/>
    <s v="Phones"/>
    <x v="126"/>
    <n v="47.975999999999999"/>
    <n v="3"/>
    <n v="0.2"/>
    <n v="4.7976000000000001"/>
    <s v="Low"/>
  </r>
  <r>
    <n v="347"/>
    <s v="CA-2017-134306"/>
    <x v="141"/>
    <d v="2017-07-12T00:00:00"/>
    <s v="Standard Class"/>
    <s v="TD-20995"/>
    <s v="Tamara Dahlen"/>
    <s v="Consumer"/>
    <s v="United States"/>
    <s v="Lowell"/>
    <s v="Massachusetts"/>
    <n v="1852"/>
    <x v="3"/>
    <s v="OFF-AR-10004027"/>
    <x v="1"/>
    <s v="Art"/>
    <x v="184"/>
    <n v="7.56"/>
    <n v="3"/>
    <n v="0"/>
    <n v="3.0996000000000001"/>
    <s v="Low"/>
  </r>
  <r>
    <n v="348"/>
    <s v="CA-2017-134306"/>
    <x v="141"/>
    <d v="2017-07-12T00:00:00"/>
    <s v="Standard Class"/>
    <s v="TD-20995"/>
    <s v="Tamara Dahlen"/>
    <s v="Consumer"/>
    <s v="United States"/>
    <s v="Lowell"/>
    <s v="Massachusetts"/>
    <n v="1852"/>
    <x v="3"/>
    <s v="OFF-PA-10000249"/>
    <x v="1"/>
    <s v="Paper"/>
    <x v="33"/>
    <n v="24.56"/>
    <n v="2"/>
    <n v="0"/>
    <n v="11.543200000000001"/>
    <s v="Low"/>
  </r>
  <r>
    <n v="349"/>
    <s v="CA-2017-134306"/>
    <x v="141"/>
    <d v="2017-07-12T00:00:00"/>
    <s v="Standard Class"/>
    <s v="TD-20995"/>
    <s v="Tamara Dahlen"/>
    <s v="Consumer"/>
    <s v="United States"/>
    <s v="Lowell"/>
    <s v="Massachusetts"/>
    <n v="1852"/>
    <x v="3"/>
    <s v="OFF-AR-10001374"/>
    <x v="1"/>
    <s v="Art"/>
    <x v="313"/>
    <n v="12.96"/>
    <n v="2"/>
    <n v="0"/>
    <n v="4.1471999999999998"/>
    <s v="Low"/>
  </r>
  <r>
    <n v="350"/>
    <s v="CA-2016-129714"/>
    <x v="142"/>
    <d v="2016-09-03T00:00:00"/>
    <s v="First Class"/>
    <s v="AB-10060"/>
    <s v="Adam Bellavance"/>
    <s v="Home Office"/>
    <s v="United States"/>
    <s v="New York City"/>
    <s v="New York"/>
    <n v="10009"/>
    <x v="3"/>
    <s v="TEC-AC-10000290"/>
    <x v="2"/>
    <s v="Accessories"/>
    <x v="235"/>
    <n v="6.79"/>
    <n v="1"/>
    <n v="0"/>
    <n v="2.3086000000000002"/>
    <s v="Low"/>
  </r>
  <r>
    <n v="351"/>
    <s v="CA-2016-129714"/>
    <x v="142"/>
    <d v="2016-09-03T00:00:00"/>
    <s v="First Class"/>
    <s v="AB-10060"/>
    <s v="Adam Bellavance"/>
    <s v="Home Office"/>
    <s v="United States"/>
    <s v="New York City"/>
    <s v="New York"/>
    <n v="10009"/>
    <x v="3"/>
    <s v="OFF-PA-10001970"/>
    <x v="1"/>
    <s v="Paper"/>
    <x v="314"/>
    <n v="24.56"/>
    <n v="2"/>
    <n v="0"/>
    <n v="11.543200000000001"/>
    <s v="Low"/>
  </r>
  <r>
    <n v="352"/>
    <s v="CA-2016-129714"/>
    <x v="142"/>
    <d v="2016-09-03T00:00:00"/>
    <s v="First Class"/>
    <s v="AB-10060"/>
    <s v="Adam Bellavance"/>
    <s v="Home Office"/>
    <s v="United States"/>
    <s v="New York City"/>
    <s v="New York"/>
    <n v="10009"/>
    <x v="3"/>
    <s v="OFF-BI-10002160"/>
    <x v="1"/>
    <s v="Binders"/>
    <x v="315"/>
    <n v="3.048"/>
    <n v="1"/>
    <n v="0.2"/>
    <n v="1.0668"/>
    <s v="Low"/>
  </r>
  <r>
    <n v="353"/>
    <s v="CA-2016-129714"/>
    <x v="142"/>
    <d v="2016-09-03T00:00:00"/>
    <s v="First Class"/>
    <s v="AB-10060"/>
    <s v="Adam Bellavance"/>
    <s v="Home Office"/>
    <s v="United States"/>
    <s v="New York City"/>
    <s v="New York"/>
    <n v="10009"/>
    <x v="3"/>
    <s v="OFF-PA-10001970"/>
    <x v="1"/>
    <s v="Paper"/>
    <x v="314"/>
    <n v="49.12"/>
    <n v="4"/>
    <n v="0"/>
    <n v="23.086400000000001"/>
    <s v="Low"/>
  </r>
  <r>
    <n v="354"/>
    <s v="CA-2016-129714"/>
    <x v="142"/>
    <d v="2016-09-03T00:00:00"/>
    <s v="First Class"/>
    <s v="AB-10060"/>
    <s v="Adam Bellavance"/>
    <s v="Home Office"/>
    <s v="United States"/>
    <s v="New York City"/>
    <s v="New York"/>
    <n v="10009"/>
    <x v="3"/>
    <s v="OFF-BI-10004995"/>
    <x v="1"/>
    <s v="Binders"/>
    <x v="316"/>
    <n v="4355.1679999999997"/>
    <n v="4"/>
    <n v="0.2"/>
    <n v="1415.4295999999999"/>
    <s v="High"/>
  </r>
  <r>
    <n v="355"/>
    <s v="CA-2016-138520"/>
    <x v="143"/>
    <d v="2016-04-13T00:00:00"/>
    <s v="Standard Class"/>
    <s v="JL-15505"/>
    <s v="Jeremy Lonsdale"/>
    <s v="Consumer"/>
    <s v="United States"/>
    <s v="New York City"/>
    <s v="New York"/>
    <n v="10035"/>
    <x v="3"/>
    <s v="FUR-BO-10002268"/>
    <x v="0"/>
    <s v="Bookcases"/>
    <x v="317"/>
    <n v="388.70400000000001"/>
    <n v="6"/>
    <n v="0.2"/>
    <n v="-4.8587999999999996"/>
    <s v="Low"/>
  </r>
  <r>
    <n v="356"/>
    <s v="CA-2016-138520"/>
    <x v="143"/>
    <d v="2016-04-13T00:00:00"/>
    <s v="Standard Class"/>
    <s v="JL-15505"/>
    <s v="Jeremy Lonsdale"/>
    <s v="Consumer"/>
    <s v="United States"/>
    <s v="New York City"/>
    <s v="New York"/>
    <n v="10035"/>
    <x v="3"/>
    <s v="OFF-EN-10001137"/>
    <x v="1"/>
    <s v="Envelopes"/>
    <x v="318"/>
    <n v="8.26"/>
    <n v="2"/>
    <n v="0"/>
    <n v="3.7995999999999999"/>
    <s v="Low"/>
  </r>
  <r>
    <n v="357"/>
    <s v="CA-2016-138520"/>
    <x v="143"/>
    <d v="2016-04-13T00:00:00"/>
    <s v="Standard Class"/>
    <s v="JL-15505"/>
    <s v="Jeremy Lonsdale"/>
    <s v="Consumer"/>
    <s v="United States"/>
    <s v="New York City"/>
    <s v="New York"/>
    <n v="10035"/>
    <x v="3"/>
    <s v="OFF-AR-10002399"/>
    <x v="1"/>
    <s v="Art"/>
    <x v="319"/>
    <n v="17.04"/>
    <n v="4"/>
    <n v="0"/>
    <n v="6.9863999999999997"/>
    <s v="Low"/>
  </r>
  <r>
    <n v="358"/>
    <s v="CA-2016-138520"/>
    <x v="143"/>
    <d v="2016-04-13T00:00:00"/>
    <s v="Standard Class"/>
    <s v="JL-15505"/>
    <s v="Jeremy Lonsdale"/>
    <s v="Consumer"/>
    <s v="United States"/>
    <s v="New York City"/>
    <s v="New York"/>
    <n v="10035"/>
    <x v="3"/>
    <s v="OFF-PA-10002713"/>
    <x v="1"/>
    <s v="Paper"/>
    <x v="320"/>
    <n v="34.4"/>
    <n v="5"/>
    <n v="0"/>
    <n v="15.824"/>
    <s v="Low"/>
  </r>
  <r>
    <n v="359"/>
    <s v="CA-2016-130001"/>
    <x v="131"/>
    <d v="2016-04-28T00:00:00"/>
    <s v="Standard Class"/>
    <s v="HK-14890"/>
    <s v="Heather Kirkland"/>
    <s v="Corporate"/>
    <s v="United States"/>
    <s v="Charlotte"/>
    <s v="North Carolina"/>
    <n v="28205"/>
    <x v="0"/>
    <s v="OFF-PA-10002666"/>
    <x v="1"/>
    <s v="Paper"/>
    <x v="188"/>
    <n v="36.24"/>
    <n v="5"/>
    <n v="0.2"/>
    <n v="11.324999999999999"/>
    <s v="Low"/>
  </r>
  <r>
    <n v="360"/>
    <s v="CA-2017-155698"/>
    <x v="144"/>
    <d v="2017-03-11T00:00:00"/>
    <s v="First Class"/>
    <s v="VB-21745"/>
    <s v="Victoria Brennan"/>
    <s v="Corporate"/>
    <s v="United States"/>
    <s v="Columbus"/>
    <s v="Georgia"/>
    <n v="31907"/>
    <x v="0"/>
    <s v="OFF-AP-10001124"/>
    <x v="1"/>
    <s v="Appliances"/>
    <x v="321"/>
    <n v="647.84"/>
    <n v="8"/>
    <n v="0"/>
    <n v="168.4384"/>
    <s v="High"/>
  </r>
  <r>
    <n v="361"/>
    <s v="CA-2017-155698"/>
    <x v="144"/>
    <d v="2017-03-11T00:00:00"/>
    <s v="First Class"/>
    <s v="VB-21745"/>
    <s v="Victoria Brennan"/>
    <s v="Corporate"/>
    <s v="United States"/>
    <s v="Columbus"/>
    <s v="Georgia"/>
    <n v="31907"/>
    <x v="0"/>
    <s v="OFF-LA-10001158"/>
    <x v="1"/>
    <s v="Labels"/>
    <x v="322"/>
    <n v="20.7"/>
    <n v="2"/>
    <n v="0"/>
    <n v="9.9359999999999999"/>
    <s v="Low"/>
  </r>
  <r>
    <n v="362"/>
    <s v="CA-2017-144904"/>
    <x v="145"/>
    <d v="2017-10-01T00:00:00"/>
    <s v="Standard Class"/>
    <s v="KW-16435"/>
    <s v="Katrina Willman"/>
    <s v="Consumer"/>
    <s v="United States"/>
    <s v="New York City"/>
    <s v="New York"/>
    <n v="10009"/>
    <x v="3"/>
    <s v="OFF-LA-10001158"/>
    <x v="1"/>
    <s v="Labels"/>
    <x v="322"/>
    <n v="20.7"/>
    <n v="2"/>
    <n v="0"/>
    <n v="9.9359999999999999"/>
    <s v="Low"/>
  </r>
  <r>
    <n v="363"/>
    <s v="CA-2017-144904"/>
    <x v="145"/>
    <d v="2017-10-01T00:00:00"/>
    <s v="Standard Class"/>
    <s v="KW-16435"/>
    <s v="Katrina Willman"/>
    <s v="Consumer"/>
    <s v="United States"/>
    <s v="New York City"/>
    <s v="New York"/>
    <n v="10009"/>
    <x v="3"/>
    <s v="FUR-CH-10000785"/>
    <x v="0"/>
    <s v="Chairs"/>
    <x v="323"/>
    <n v="488.64600000000002"/>
    <n v="3"/>
    <n v="0.1"/>
    <n v="86.870400000000004"/>
    <s v="Low"/>
  </r>
  <r>
    <n v="364"/>
    <s v="CA-2017-144904"/>
    <x v="145"/>
    <d v="2017-10-01T00:00:00"/>
    <s v="Standard Class"/>
    <s v="KW-16435"/>
    <s v="Katrina Willman"/>
    <s v="Consumer"/>
    <s v="United States"/>
    <s v="New York City"/>
    <s v="New York"/>
    <n v="10009"/>
    <x v="3"/>
    <s v="OFF-AR-10003732"/>
    <x v="1"/>
    <s v="Art"/>
    <x v="324"/>
    <n v="5.56"/>
    <n v="2"/>
    <n v="0"/>
    <n v="1.4456"/>
    <s v="Low"/>
  </r>
  <r>
    <n v="365"/>
    <s v="CA-2017-144904"/>
    <x v="145"/>
    <d v="2017-10-01T00:00:00"/>
    <s v="Standard Class"/>
    <s v="KW-16435"/>
    <s v="Katrina Willman"/>
    <s v="Consumer"/>
    <s v="United States"/>
    <s v="New York City"/>
    <s v="New York"/>
    <n v="10009"/>
    <x v="3"/>
    <s v="FUR-FU-10000023"/>
    <x v="0"/>
    <s v="Furnishings"/>
    <x v="325"/>
    <n v="47.12"/>
    <n v="8"/>
    <n v="0"/>
    <n v="20.732800000000001"/>
    <s v="Low"/>
  </r>
  <r>
    <n v="366"/>
    <s v="CA-2014-123344"/>
    <x v="146"/>
    <d v="2014-09-29T00:00:00"/>
    <s v="Standard Class"/>
    <s v="JD-16060"/>
    <s v="Julia Dunbar"/>
    <s v="Consumer"/>
    <s v="United States"/>
    <s v="San Francisco"/>
    <s v="California"/>
    <n v="94109"/>
    <x v="1"/>
    <s v="OFF-ST-10001713"/>
    <x v="1"/>
    <s v="Storage"/>
    <x v="45"/>
    <n v="211.96"/>
    <n v="4"/>
    <n v="0"/>
    <n v="8.4784000000000006"/>
    <s v="Low"/>
  </r>
  <r>
    <n v="367"/>
    <s v="CA-2016-155516"/>
    <x v="147"/>
    <d v="2016-10-21T00:00:00"/>
    <s v="Same Day"/>
    <s v="MK-17905"/>
    <s v="Michael Kennedy"/>
    <s v="Corporate"/>
    <s v="United States"/>
    <s v="Manchester"/>
    <s v="Connecticut"/>
    <n v="6040"/>
    <x v="3"/>
    <s v="OFF-BI-10002412"/>
    <x v="1"/>
    <s v="Binders"/>
    <x v="326"/>
    <n v="23.2"/>
    <n v="4"/>
    <n v="0"/>
    <n v="10.44"/>
    <s v="Low"/>
  </r>
  <r>
    <n v="368"/>
    <s v="CA-2016-155516"/>
    <x v="147"/>
    <d v="2016-10-21T00:00:00"/>
    <s v="Same Day"/>
    <s v="MK-17905"/>
    <s v="Michael Kennedy"/>
    <s v="Corporate"/>
    <s v="United States"/>
    <s v="Manchester"/>
    <s v="Connecticut"/>
    <n v="6040"/>
    <x v="3"/>
    <s v="OFF-SU-10001225"/>
    <x v="1"/>
    <s v="Supplies"/>
    <x v="327"/>
    <n v="7.36"/>
    <n v="2"/>
    <n v="0"/>
    <n v="0.1472"/>
    <s v="Low"/>
  </r>
  <r>
    <n v="369"/>
    <s v="CA-2016-155516"/>
    <x v="147"/>
    <d v="2016-10-21T00:00:00"/>
    <s v="Same Day"/>
    <s v="MK-17905"/>
    <s v="Michael Kennedy"/>
    <s v="Corporate"/>
    <s v="United States"/>
    <s v="Manchester"/>
    <s v="Connecticut"/>
    <n v="6040"/>
    <x v="3"/>
    <s v="OFF-ST-10002406"/>
    <x v="1"/>
    <s v="Storage"/>
    <x v="328"/>
    <n v="104.79"/>
    <n v="7"/>
    <n v="0"/>
    <n v="29.341200000000001"/>
    <s v="Low"/>
  </r>
  <r>
    <n v="370"/>
    <s v="CA-2016-155516"/>
    <x v="147"/>
    <d v="2016-10-21T00:00:00"/>
    <s v="Same Day"/>
    <s v="MK-17905"/>
    <s v="Michael Kennedy"/>
    <s v="Corporate"/>
    <s v="United States"/>
    <s v="Manchester"/>
    <s v="Connecticut"/>
    <n v="6040"/>
    <x v="3"/>
    <s v="FUR-BO-10002545"/>
    <x v="0"/>
    <s v="Bookcases"/>
    <x v="37"/>
    <n v="1043.92"/>
    <n v="4"/>
    <n v="0"/>
    <n v="271.41919999999999"/>
    <s v="High"/>
  </r>
  <r>
    <n v="371"/>
    <s v="CA-2017-104745"/>
    <x v="148"/>
    <d v="2017-06-04T00:00:00"/>
    <s v="Standard Class"/>
    <s v="GT-14755"/>
    <s v="Guy Thornton"/>
    <s v="Consumer"/>
    <s v="United States"/>
    <s v="Harlingen"/>
    <s v="Texas"/>
    <n v="78550"/>
    <x v="2"/>
    <s v="OFF-PA-10002036"/>
    <x v="1"/>
    <s v="Paper"/>
    <x v="329"/>
    <n v="25.92"/>
    <n v="5"/>
    <n v="0.2"/>
    <n v="9.3960000000000008"/>
    <s v="Low"/>
  </r>
  <r>
    <n v="372"/>
    <s v="CA-2017-104745"/>
    <x v="148"/>
    <d v="2017-06-04T00:00:00"/>
    <s v="Standard Class"/>
    <s v="GT-14755"/>
    <s v="Guy Thornton"/>
    <s v="Consumer"/>
    <s v="United States"/>
    <s v="Harlingen"/>
    <s v="Texas"/>
    <n v="78550"/>
    <x v="2"/>
    <s v="OFF-ST-10002205"/>
    <x v="1"/>
    <s v="Storage"/>
    <x v="330"/>
    <n v="53.423999999999999"/>
    <n v="3"/>
    <n v="0.2"/>
    <n v="4.6745999999999999"/>
    <s v="Low"/>
  </r>
  <r>
    <n v="373"/>
    <s v="US-2014-119137"/>
    <x v="149"/>
    <d v="2014-07-27T00:00:00"/>
    <s v="Standard Class"/>
    <s v="AG-10900"/>
    <s v="Arthur Gainer"/>
    <s v="Consumer"/>
    <s v="United States"/>
    <s v="Tucson"/>
    <s v="Arizona"/>
    <n v="85705"/>
    <x v="1"/>
    <s v="OFF-BI-10001982"/>
    <x v="1"/>
    <s v="Binders"/>
    <x v="304"/>
    <n v="8.16"/>
    <n v="5"/>
    <n v="0.7"/>
    <n v="-5.7119999999999997"/>
    <s v="Low"/>
  </r>
  <r>
    <n v="374"/>
    <s v="US-2014-119137"/>
    <x v="149"/>
    <d v="2014-07-27T00:00:00"/>
    <s v="Standard Class"/>
    <s v="AG-10900"/>
    <s v="Arthur Gainer"/>
    <s v="Consumer"/>
    <s v="United States"/>
    <s v="Tucson"/>
    <s v="Arizona"/>
    <n v="85705"/>
    <x v="1"/>
    <s v="TEC-AC-10003911"/>
    <x v="2"/>
    <s v="Accessories"/>
    <x v="331"/>
    <n v="1023.936"/>
    <n v="8"/>
    <n v="0.2"/>
    <n v="179.18879999999999"/>
    <s v="High"/>
  </r>
  <r>
    <n v="375"/>
    <s v="US-2014-119137"/>
    <x v="149"/>
    <d v="2014-07-27T00:00:00"/>
    <s v="Standard Class"/>
    <s v="AG-10900"/>
    <s v="Arthur Gainer"/>
    <s v="Consumer"/>
    <s v="United States"/>
    <s v="Tucson"/>
    <s v="Arizona"/>
    <n v="85705"/>
    <x v="1"/>
    <s v="OFF-AR-10000658"/>
    <x v="1"/>
    <s v="Art"/>
    <x v="332"/>
    <n v="9.24"/>
    <n v="1"/>
    <n v="0.2"/>
    <n v="0.92400000000000004"/>
    <s v="Low"/>
  </r>
  <r>
    <n v="376"/>
    <s v="US-2014-119137"/>
    <x v="149"/>
    <d v="2014-07-27T00:00:00"/>
    <s v="Standard Class"/>
    <s v="AG-10900"/>
    <s v="Arthur Gainer"/>
    <s v="Consumer"/>
    <s v="United States"/>
    <s v="Tucson"/>
    <s v="Arizona"/>
    <n v="85705"/>
    <x v="1"/>
    <s v="TEC-AC-10002076"/>
    <x v="2"/>
    <s v="Accessories"/>
    <x v="333"/>
    <n v="479.04"/>
    <n v="10"/>
    <n v="0.2"/>
    <n v="-29.94"/>
    <s v="Low"/>
  </r>
  <r>
    <n v="377"/>
    <s v="US-2016-134656"/>
    <x v="150"/>
    <d v="2016-10-01T00:00:00"/>
    <s v="First Class"/>
    <s v="MM-18280"/>
    <s v="Muhammed MacIntyre"/>
    <s v="Corporate"/>
    <s v="United States"/>
    <s v="Quincy"/>
    <s v="Illinois"/>
    <n v="62301"/>
    <x v="2"/>
    <s v="OFF-PA-10003039"/>
    <x v="1"/>
    <s v="Paper"/>
    <x v="334"/>
    <n v="99.135999999999996"/>
    <n v="4"/>
    <n v="0.2"/>
    <n v="30.98"/>
    <s v="Low"/>
  </r>
  <r>
    <n v="378"/>
    <s v="US-2017-134481"/>
    <x v="151"/>
    <d v="2017-09-01T00:00:00"/>
    <s v="Standard Class"/>
    <s v="AR-10405"/>
    <s v="Allen Rosenblatt"/>
    <s v="Corporate"/>
    <s v="United States"/>
    <s v="Franklin"/>
    <s v="Massachusetts"/>
    <n v="2038"/>
    <x v="3"/>
    <s v="FUR-TA-10004915"/>
    <x v="0"/>
    <s v="Tables"/>
    <x v="335"/>
    <n v="1488.424"/>
    <n v="7"/>
    <n v="0.3"/>
    <n v="-297.6848"/>
    <s v="High"/>
  </r>
  <r>
    <n v="379"/>
    <s v="CA-2015-130792"/>
    <x v="152"/>
    <d v="2015-05-05T00:00:00"/>
    <s v="Standard Class"/>
    <s v="RA-19915"/>
    <s v="Russell Applegate"/>
    <s v="Consumer"/>
    <s v="United States"/>
    <s v="Houston"/>
    <s v="Texas"/>
    <n v="77095"/>
    <x v="2"/>
    <s v="OFF-AP-10000696"/>
    <x v="1"/>
    <s v="Appliances"/>
    <x v="336"/>
    <n v="8.6519999999999992"/>
    <n v="3"/>
    <n v="0.8"/>
    <n v="-20.3322"/>
    <s v="Low"/>
  </r>
  <r>
    <n v="380"/>
    <s v="CA-2015-130792"/>
    <x v="152"/>
    <d v="2015-05-05T00:00:00"/>
    <s v="Standard Class"/>
    <s v="RA-19915"/>
    <s v="Russell Applegate"/>
    <s v="Consumer"/>
    <s v="United States"/>
    <s v="Houston"/>
    <s v="Texas"/>
    <n v="77095"/>
    <x v="2"/>
    <s v="OFF-ST-10003327"/>
    <x v="1"/>
    <s v="Storage"/>
    <x v="337"/>
    <n v="23.832000000000001"/>
    <n v="3"/>
    <n v="0.2"/>
    <n v="2.6810999999999998"/>
    <s v="Low"/>
  </r>
  <r>
    <n v="381"/>
    <s v="CA-2015-130792"/>
    <x v="152"/>
    <d v="2015-05-05T00:00:00"/>
    <s v="Standard Class"/>
    <s v="RA-19915"/>
    <s v="Russell Applegate"/>
    <s v="Consumer"/>
    <s v="United States"/>
    <s v="Houston"/>
    <s v="Texas"/>
    <n v="77095"/>
    <x v="2"/>
    <s v="OFF-BI-10000309"/>
    <x v="1"/>
    <s v="Binders"/>
    <x v="338"/>
    <n v="12.176"/>
    <n v="4"/>
    <n v="0.8"/>
    <n v="-18.872800000000002"/>
    <s v="Low"/>
  </r>
  <r>
    <n v="382"/>
    <s v="CA-2016-134775"/>
    <x v="99"/>
    <d v="2016-10-29T00:00:00"/>
    <s v="First Class"/>
    <s v="AS-10285"/>
    <s v="Alejandro Savely"/>
    <s v="Corporate"/>
    <s v="United States"/>
    <s v="San Francisco"/>
    <s v="California"/>
    <n v="94109"/>
    <x v="1"/>
    <s v="OFF-PA-10004734"/>
    <x v="1"/>
    <s v="Paper"/>
    <x v="339"/>
    <n v="50.96"/>
    <n v="7"/>
    <n v="0"/>
    <n v="25.48"/>
    <s v="Low"/>
  </r>
  <r>
    <n v="383"/>
    <s v="CA-2016-134775"/>
    <x v="99"/>
    <d v="2016-10-29T00:00:00"/>
    <s v="First Class"/>
    <s v="AS-10285"/>
    <s v="Alejandro Savely"/>
    <s v="Corporate"/>
    <s v="United States"/>
    <s v="San Francisco"/>
    <s v="California"/>
    <n v="94109"/>
    <x v="1"/>
    <s v="OFF-BI-10002225"/>
    <x v="1"/>
    <s v="Binders"/>
    <x v="340"/>
    <n v="49.536000000000001"/>
    <n v="3"/>
    <n v="0.2"/>
    <n v="17.337599999999998"/>
    <s v="Low"/>
  </r>
  <r>
    <n v="384"/>
    <s v="CA-2015-125395"/>
    <x v="153"/>
    <d v="2015-06-29T00:00:00"/>
    <s v="Second Class"/>
    <s v="LA-16780"/>
    <s v="Laura Armstrong"/>
    <s v="Corporate"/>
    <s v="United States"/>
    <s v="Taylor"/>
    <s v="Michigan"/>
    <n v="48180"/>
    <x v="2"/>
    <s v="TEC-AC-10004708"/>
    <x v="2"/>
    <s v="Accessories"/>
    <x v="341"/>
    <n v="41.9"/>
    <n v="2"/>
    <n v="0"/>
    <n v="8.7989999999999995"/>
    <s v="Low"/>
  </r>
  <r>
    <n v="385"/>
    <s v="US-2015-168935"/>
    <x v="154"/>
    <d v="2015-12-02T00:00:00"/>
    <s v="Standard Class"/>
    <s v="DO-13435"/>
    <s v="Denny Ordway"/>
    <s v="Consumer"/>
    <s v="United States"/>
    <s v="Pembroke Pines"/>
    <s v="Florida"/>
    <n v="33024"/>
    <x v="0"/>
    <s v="FUR-TA-10000617"/>
    <x v="0"/>
    <s v="Tables"/>
    <x v="342"/>
    <n v="375.45749999999998"/>
    <n v="3"/>
    <n v="0.45"/>
    <n v="-157.0095"/>
    <s v="Low"/>
  </r>
  <r>
    <n v="386"/>
    <s v="US-2015-168935"/>
    <x v="154"/>
    <d v="2015-12-02T00:00:00"/>
    <s v="Standard Class"/>
    <s v="DO-13435"/>
    <s v="Denny Ordway"/>
    <s v="Consumer"/>
    <s v="United States"/>
    <s v="Pembroke Pines"/>
    <s v="Florida"/>
    <n v="33024"/>
    <x v="0"/>
    <s v="TEC-AC-10002335"/>
    <x v="2"/>
    <s v="Accessories"/>
    <x v="343"/>
    <n v="83.975999999999999"/>
    <n v="3"/>
    <n v="0.2"/>
    <n v="-1.0497000000000001"/>
    <s v="Low"/>
  </r>
  <r>
    <n v="387"/>
    <s v="CA-2015-122756"/>
    <x v="155"/>
    <d v="2015-12-07T00:00:00"/>
    <s v="Standard Class"/>
    <s v="DK-13225"/>
    <s v="Dean Katz"/>
    <s v="Corporate"/>
    <s v="United States"/>
    <s v="Philadelphia"/>
    <s v="Pennsylvania"/>
    <n v="19140"/>
    <x v="3"/>
    <s v="TEC-MA-10001681"/>
    <x v="2"/>
    <s v="Machines"/>
    <x v="344"/>
    <n v="482.34"/>
    <n v="4"/>
    <n v="0.7"/>
    <n v="-337.63799999999998"/>
    <s v="Low"/>
  </r>
  <r>
    <n v="388"/>
    <s v="CA-2015-122756"/>
    <x v="155"/>
    <d v="2015-12-07T00:00:00"/>
    <s v="Standard Class"/>
    <s v="DK-13225"/>
    <s v="Dean Katz"/>
    <s v="Corporate"/>
    <s v="United States"/>
    <s v="Philadelphia"/>
    <s v="Pennsylvania"/>
    <n v="19140"/>
    <x v="3"/>
    <s v="FUR-FU-10001935"/>
    <x v="0"/>
    <s v="Furnishings"/>
    <x v="345"/>
    <n v="2.96"/>
    <n v="1"/>
    <n v="0.2"/>
    <n v="0.77700000000000002"/>
    <s v="Low"/>
  </r>
  <r>
    <n v="389"/>
    <s v="CA-2014-115973"/>
    <x v="156"/>
    <d v="2014-11-26T00:00:00"/>
    <s v="First Class"/>
    <s v="NG-18430"/>
    <s v="Nathan Gelder"/>
    <s v="Consumer"/>
    <s v="United States"/>
    <s v="Cincinnati"/>
    <s v="Ohio"/>
    <n v="45231"/>
    <x v="3"/>
    <s v="OFF-AR-10004757"/>
    <x v="1"/>
    <s v="Art"/>
    <x v="346"/>
    <n v="2.6240000000000001"/>
    <n v="1"/>
    <n v="0.2"/>
    <n v="0.4264"/>
    <s v="Low"/>
  </r>
  <r>
    <n v="390"/>
    <s v="CA-2017-101798"/>
    <x v="157"/>
    <d v="2017-12-15T00:00:00"/>
    <s v="Standard Class"/>
    <s v="MV-18190"/>
    <s v="Mike Vittorini"/>
    <s v="Consumer"/>
    <s v="United States"/>
    <s v="New York City"/>
    <s v="New York"/>
    <n v="10009"/>
    <x v="3"/>
    <s v="OFF-BI-10000050"/>
    <x v="1"/>
    <s v="Binders"/>
    <x v="347"/>
    <n v="23.36"/>
    <n v="4"/>
    <n v="0.2"/>
    <n v="7.8840000000000003"/>
    <s v="Low"/>
  </r>
  <r>
    <n v="391"/>
    <s v="CA-2017-101798"/>
    <x v="157"/>
    <d v="2017-12-15T00:00:00"/>
    <s v="Standard Class"/>
    <s v="MV-18190"/>
    <s v="Mike Vittorini"/>
    <s v="Consumer"/>
    <s v="United States"/>
    <s v="New York City"/>
    <s v="New York"/>
    <n v="10009"/>
    <x v="3"/>
    <s v="TEC-AC-10001998"/>
    <x v="2"/>
    <s v="Accessories"/>
    <x v="84"/>
    <n v="39.979999999999997"/>
    <n v="2"/>
    <n v="0"/>
    <n v="13.5932"/>
    <s v="Low"/>
  </r>
  <r>
    <n v="392"/>
    <s v="US-2014-135972"/>
    <x v="158"/>
    <d v="2014-09-23T00:00:00"/>
    <s v="Second Class"/>
    <s v="JG-15115"/>
    <s v="Jack Garza"/>
    <s v="Consumer"/>
    <s v="United States"/>
    <s v="Des Moines"/>
    <s v="Washington"/>
    <n v="98198"/>
    <x v="1"/>
    <s v="TEC-PH-10003012"/>
    <x v="2"/>
    <s v="Phones"/>
    <x v="348"/>
    <n v="246.38399999999999"/>
    <n v="2"/>
    <n v="0.2"/>
    <n v="27.7182"/>
    <s v="Low"/>
  </r>
  <r>
    <n v="393"/>
    <s v="US-2014-135972"/>
    <x v="158"/>
    <d v="2014-09-23T00:00:00"/>
    <s v="Second Class"/>
    <s v="JG-15115"/>
    <s v="Jack Garza"/>
    <s v="Consumer"/>
    <s v="United States"/>
    <s v="Des Moines"/>
    <s v="Washington"/>
    <n v="98198"/>
    <x v="1"/>
    <s v="TEC-CO-10002313"/>
    <x v="2"/>
    <s v="Copiers"/>
    <x v="349"/>
    <n v="1799.97"/>
    <n v="3"/>
    <n v="0"/>
    <n v="701.98829999999998"/>
    <s v="High"/>
  </r>
  <r>
    <n v="394"/>
    <s v="US-2014-134971"/>
    <x v="159"/>
    <d v="2014-06-10T00:00:00"/>
    <s v="Second Class"/>
    <s v="BP-11095"/>
    <s v="Bart Pistole"/>
    <s v="Corporate"/>
    <s v="United States"/>
    <s v="Peoria"/>
    <s v="Illinois"/>
    <n v="61604"/>
    <x v="2"/>
    <s v="OFF-BI-10003982"/>
    <x v="1"/>
    <s v="Binders"/>
    <x v="350"/>
    <n v="12.462"/>
    <n v="3"/>
    <n v="0.8"/>
    <n v="-20.5623"/>
    <s v="Low"/>
  </r>
  <r>
    <n v="395"/>
    <s v="CA-2017-102946"/>
    <x v="160"/>
    <d v="2017-07-05T00:00:00"/>
    <s v="Standard Class"/>
    <s v="VP-21730"/>
    <s v="Victor Preis"/>
    <s v="Home Office"/>
    <s v="United States"/>
    <s v="Las Vegas"/>
    <s v="Nevada"/>
    <n v="89115"/>
    <x v="1"/>
    <s v="OFF-BI-10004492"/>
    <x v="1"/>
    <s v="Binders"/>
    <x v="351"/>
    <n v="75.792000000000002"/>
    <n v="3"/>
    <n v="0.2"/>
    <n v="25.579799999999999"/>
    <s v="Low"/>
  </r>
  <r>
    <n v="396"/>
    <s v="CA-2017-165603"/>
    <x v="161"/>
    <d v="2017-10-19T00:00:00"/>
    <s v="Second Class"/>
    <s v="SS-20140"/>
    <s v="Saphhira Shifley"/>
    <s v="Corporate"/>
    <s v="United States"/>
    <s v="Warwick"/>
    <s v="Rhode Island"/>
    <n v="2886"/>
    <x v="3"/>
    <s v="OFF-ST-10000798"/>
    <x v="1"/>
    <s v="Storage"/>
    <x v="352"/>
    <n v="49.96"/>
    <n v="2"/>
    <n v="0"/>
    <n v="9.4923999999999999"/>
    <s v="Low"/>
  </r>
  <r>
    <n v="397"/>
    <s v="CA-2017-165603"/>
    <x v="161"/>
    <d v="2017-10-19T00:00:00"/>
    <s v="Second Class"/>
    <s v="SS-20140"/>
    <s v="Saphhira Shifley"/>
    <s v="Corporate"/>
    <s v="United States"/>
    <s v="Warwick"/>
    <s v="Rhode Island"/>
    <n v="2886"/>
    <x v="3"/>
    <s v="OFF-PA-10002552"/>
    <x v="1"/>
    <s v="Paper"/>
    <x v="353"/>
    <n v="12.96"/>
    <n v="2"/>
    <n v="0"/>
    <n v="6.2207999999999997"/>
    <s v="Low"/>
  </r>
  <r>
    <n v="398"/>
    <s v="CA-2015-122259"/>
    <x v="89"/>
    <d v="2015-11-04T00:00:00"/>
    <s v="Standard Class"/>
    <s v="HP-14815"/>
    <s v="Harold Pawlan"/>
    <s v="Home Office"/>
    <s v="United States"/>
    <s v="Jackson"/>
    <s v="Michigan"/>
    <n v="49201"/>
    <x v="2"/>
    <s v="OFF-SU-10002573"/>
    <x v="1"/>
    <s v="Supplies"/>
    <x v="354"/>
    <n v="70.12"/>
    <n v="4"/>
    <n v="0"/>
    <n v="21.036000000000001"/>
    <s v="Low"/>
  </r>
  <r>
    <n v="399"/>
    <s v="CA-2016-108987"/>
    <x v="162"/>
    <d v="2016-09-10T00:00:00"/>
    <s v="Second Class"/>
    <s v="AG-10675"/>
    <s v="Anna Gayman"/>
    <s v="Consumer"/>
    <s v="United States"/>
    <s v="Houston"/>
    <s v="Texas"/>
    <n v="77036"/>
    <x v="2"/>
    <s v="OFF-ST-10001580"/>
    <x v="1"/>
    <s v="Storage"/>
    <x v="355"/>
    <n v="35.951999999999998"/>
    <n v="3"/>
    <n v="0.2"/>
    <n v="3.5952000000000002"/>
    <s v="Low"/>
  </r>
  <r>
    <n v="400"/>
    <s v="CA-2016-108987"/>
    <x v="162"/>
    <d v="2016-09-10T00:00:00"/>
    <s v="Second Class"/>
    <s v="AG-10675"/>
    <s v="Anna Gayman"/>
    <s v="Consumer"/>
    <s v="United States"/>
    <s v="Houston"/>
    <s v="Texas"/>
    <n v="77036"/>
    <x v="2"/>
    <s v="FUR-BO-10004834"/>
    <x v="0"/>
    <s v="Bookcases"/>
    <x v="26"/>
    <n v="2396.2656000000002"/>
    <n v="4"/>
    <n v="0.32"/>
    <n v="-317.15280000000001"/>
    <s v="High"/>
  </r>
  <r>
    <n v="401"/>
    <s v="CA-2016-108987"/>
    <x v="162"/>
    <d v="2016-09-10T00:00:00"/>
    <s v="Second Class"/>
    <s v="AG-10675"/>
    <s v="Anna Gayman"/>
    <s v="Consumer"/>
    <s v="United States"/>
    <s v="Houston"/>
    <s v="Texas"/>
    <n v="77036"/>
    <x v="2"/>
    <s v="OFF-ST-10000934"/>
    <x v="1"/>
    <s v="Storage"/>
    <x v="356"/>
    <n v="131.136"/>
    <n v="4"/>
    <n v="0.2"/>
    <n v="-32.783999999999999"/>
    <s v="Low"/>
  </r>
  <r>
    <n v="402"/>
    <s v="CA-2016-108987"/>
    <x v="162"/>
    <d v="2016-09-10T00:00:00"/>
    <s v="Second Class"/>
    <s v="AG-10675"/>
    <s v="Anna Gayman"/>
    <s v="Consumer"/>
    <s v="United States"/>
    <s v="Houston"/>
    <s v="Texas"/>
    <n v="77036"/>
    <x v="2"/>
    <s v="TEC-AC-10000158"/>
    <x v="2"/>
    <s v="Accessories"/>
    <x v="357"/>
    <n v="57.584000000000003"/>
    <n v="2"/>
    <n v="0.2"/>
    <n v="0.7198"/>
    <s v="Low"/>
  </r>
  <r>
    <n v="403"/>
    <s v="CA-2014-113166"/>
    <x v="163"/>
    <d v="2014-12-26T00:00:00"/>
    <s v="First Class"/>
    <s v="LF-17185"/>
    <s v="Luke Foster"/>
    <s v="Consumer"/>
    <s v="United States"/>
    <s v="Miami"/>
    <s v="Florida"/>
    <n v="33180"/>
    <x v="0"/>
    <s v="OFF-PA-10001947"/>
    <x v="1"/>
    <s v="Paper"/>
    <x v="358"/>
    <n v="9.5679999999999996"/>
    <n v="2"/>
    <n v="0.2"/>
    <n v="3.4683999999999999"/>
    <s v="Low"/>
  </r>
  <r>
    <n v="404"/>
    <s v="CA-2014-155208"/>
    <x v="164"/>
    <d v="2014-04-20T00:00:00"/>
    <s v="Standard Class"/>
    <s v="SP-20650"/>
    <s v="Stephanie Phelps"/>
    <s v="Corporate"/>
    <s v="United States"/>
    <s v="Wilmington"/>
    <s v="North Carolina"/>
    <n v="28403"/>
    <x v="0"/>
    <s v="OFF-AR-10003478"/>
    <x v="1"/>
    <s v="Art"/>
    <x v="359"/>
    <n v="39.072000000000003"/>
    <n v="6"/>
    <n v="0.2"/>
    <n v="9.7680000000000007"/>
    <s v="Low"/>
  </r>
  <r>
    <n v="405"/>
    <s v="CA-2017-117933"/>
    <x v="165"/>
    <d v="2017-12-29T00:00:00"/>
    <s v="Standard Class"/>
    <s v="RF-19840"/>
    <s v="Roy Französisch"/>
    <s v="Consumer"/>
    <s v="United States"/>
    <s v="New York City"/>
    <s v="New York"/>
    <n v="10024"/>
    <x v="3"/>
    <s v="OFF-AP-10004249"/>
    <x v="1"/>
    <s v="Appliances"/>
    <x v="360"/>
    <n v="35.909999999999997"/>
    <n v="3"/>
    <n v="0"/>
    <n v="9.6957000000000004"/>
    <s v="Low"/>
  </r>
  <r>
    <n v="406"/>
    <s v="CA-2017-117457"/>
    <x v="166"/>
    <d v="2017-12-12T00:00:00"/>
    <s v="Standard Class"/>
    <s v="KH-16510"/>
    <s v="Keith Herrera"/>
    <s v="Consumer"/>
    <s v="United States"/>
    <s v="San Francisco"/>
    <s v="California"/>
    <n v="94110"/>
    <x v="1"/>
    <s v="TEC-AC-10000158"/>
    <x v="2"/>
    <s v="Accessories"/>
    <x v="357"/>
    <n v="179.95"/>
    <n v="5"/>
    <n v="0"/>
    <n v="37.789499999999997"/>
    <s v="Low"/>
  </r>
  <r>
    <n v="407"/>
    <s v="CA-2017-117457"/>
    <x v="166"/>
    <d v="2017-12-12T00:00:00"/>
    <s v="Standard Class"/>
    <s v="KH-16510"/>
    <s v="Keith Herrera"/>
    <s v="Consumer"/>
    <s v="United States"/>
    <s v="San Francisco"/>
    <s v="California"/>
    <n v="94110"/>
    <x v="1"/>
    <s v="TEC-CO-10004115"/>
    <x v="2"/>
    <s v="Copiers"/>
    <x v="361"/>
    <n v="1199.9760000000001"/>
    <n v="3"/>
    <n v="0.2"/>
    <n v="434.99130000000002"/>
    <s v="High"/>
  </r>
  <r>
    <n v="408"/>
    <s v="CA-2017-117457"/>
    <x v="166"/>
    <d v="2017-12-12T00:00:00"/>
    <s v="Standard Class"/>
    <s v="KH-16510"/>
    <s v="Keith Herrera"/>
    <s v="Consumer"/>
    <s v="United States"/>
    <s v="San Francisco"/>
    <s v="California"/>
    <n v="94110"/>
    <x v="1"/>
    <s v="OFF-PA-10003724"/>
    <x v="1"/>
    <s v="Paper"/>
    <x v="362"/>
    <n v="27.15"/>
    <n v="5"/>
    <n v="0"/>
    <n v="13.3035"/>
    <s v="Low"/>
  </r>
  <r>
    <n v="409"/>
    <s v="CA-2017-117457"/>
    <x v="166"/>
    <d v="2017-12-12T00:00:00"/>
    <s v="Standard Class"/>
    <s v="KH-16510"/>
    <s v="Keith Herrera"/>
    <s v="Consumer"/>
    <s v="United States"/>
    <s v="San Francisco"/>
    <s v="California"/>
    <n v="94110"/>
    <x v="1"/>
    <s v="FUR-TA-10002041"/>
    <x v="0"/>
    <s v="Tables"/>
    <x v="363"/>
    <n v="1004.024"/>
    <n v="7"/>
    <n v="0.2"/>
    <n v="-112.95269999999999"/>
    <s v="High"/>
  </r>
  <r>
    <n v="410"/>
    <s v="CA-2017-117457"/>
    <x v="166"/>
    <d v="2017-12-12T00:00:00"/>
    <s v="Standard Class"/>
    <s v="KH-16510"/>
    <s v="Keith Herrera"/>
    <s v="Consumer"/>
    <s v="United States"/>
    <s v="San Francisco"/>
    <s v="California"/>
    <n v="94110"/>
    <x v="1"/>
    <s v="OFF-PA-10002893"/>
    <x v="1"/>
    <s v="Paper"/>
    <x v="364"/>
    <n v="9.68"/>
    <n v="1"/>
    <n v="0"/>
    <n v="4.6463999999999999"/>
    <s v="Low"/>
  </r>
  <r>
    <n v="411"/>
    <s v="CA-2017-117457"/>
    <x v="166"/>
    <d v="2017-12-12T00:00:00"/>
    <s v="Standard Class"/>
    <s v="KH-16510"/>
    <s v="Keith Herrera"/>
    <s v="Consumer"/>
    <s v="United States"/>
    <s v="San Francisco"/>
    <s v="California"/>
    <n v="94110"/>
    <x v="1"/>
    <s v="OFF-LA-10003766"/>
    <x v="1"/>
    <s v="Labels"/>
    <x v="365"/>
    <n v="28.35"/>
    <n v="9"/>
    <n v="0"/>
    <n v="13.608000000000001"/>
    <s v="Low"/>
  </r>
  <r>
    <n v="412"/>
    <s v="CA-2017-117457"/>
    <x v="166"/>
    <d v="2017-12-12T00:00:00"/>
    <s v="Standard Class"/>
    <s v="KH-16510"/>
    <s v="Keith Herrera"/>
    <s v="Consumer"/>
    <s v="United States"/>
    <s v="San Francisco"/>
    <s v="California"/>
    <n v="94110"/>
    <x v="1"/>
    <s v="OFF-PA-10001970"/>
    <x v="1"/>
    <s v="Paper"/>
    <x v="366"/>
    <n v="55.98"/>
    <n v="1"/>
    <n v="0"/>
    <n v="27.430199999999999"/>
    <s v="Low"/>
  </r>
  <r>
    <n v="413"/>
    <s v="CA-2017-117457"/>
    <x v="166"/>
    <d v="2017-12-12T00:00:00"/>
    <s v="Standard Class"/>
    <s v="KH-16510"/>
    <s v="Keith Herrera"/>
    <s v="Consumer"/>
    <s v="United States"/>
    <s v="San Francisco"/>
    <s v="California"/>
    <n v="94110"/>
    <x v="1"/>
    <s v="FUR-BO-10001972"/>
    <x v="0"/>
    <s v="Bookcases"/>
    <x v="367"/>
    <n v="1336.829"/>
    <n v="13"/>
    <n v="0.15"/>
    <n v="31.454799999999999"/>
    <s v="High"/>
  </r>
  <r>
    <n v="414"/>
    <s v="CA-2017-117457"/>
    <x v="166"/>
    <d v="2017-12-12T00:00:00"/>
    <s v="Standard Class"/>
    <s v="KH-16510"/>
    <s v="Keith Herrera"/>
    <s v="Consumer"/>
    <s v="United States"/>
    <s v="San Francisco"/>
    <s v="California"/>
    <n v="94110"/>
    <x v="1"/>
    <s v="FUR-CH-10003956"/>
    <x v="0"/>
    <s v="Chairs"/>
    <x v="368"/>
    <n v="113.568"/>
    <n v="2"/>
    <n v="0.2"/>
    <n v="-18.454799999999999"/>
    <s v="Low"/>
  </r>
  <r>
    <n v="415"/>
    <s v="CA-2017-142636"/>
    <x v="132"/>
    <d v="2017-11-07T00:00:00"/>
    <s v="Standard Class"/>
    <s v="KC-16675"/>
    <s v="Kimberly Carter"/>
    <s v="Corporate"/>
    <s v="United States"/>
    <s v="Seattle"/>
    <s v="Washington"/>
    <n v="98105"/>
    <x v="1"/>
    <s v="OFF-PA-10000157"/>
    <x v="1"/>
    <s v="Paper"/>
    <x v="369"/>
    <n v="139.86000000000001"/>
    <n v="7"/>
    <n v="0"/>
    <n v="65.734200000000001"/>
    <s v="Low"/>
  </r>
  <r>
    <n v="416"/>
    <s v="CA-2017-142636"/>
    <x v="132"/>
    <d v="2017-11-07T00:00:00"/>
    <s v="Standard Class"/>
    <s v="KC-16675"/>
    <s v="Kimberly Carter"/>
    <s v="Corporate"/>
    <s v="United States"/>
    <s v="Seattle"/>
    <s v="Washington"/>
    <n v="98105"/>
    <x v="1"/>
    <s v="FUR-CH-10001891"/>
    <x v="0"/>
    <s v="Chairs"/>
    <x v="268"/>
    <n v="307.13600000000002"/>
    <n v="4"/>
    <n v="0.2"/>
    <n v="26.874400000000001"/>
    <s v="Low"/>
  </r>
  <r>
    <n v="417"/>
    <s v="CA-2017-122105"/>
    <x v="92"/>
    <d v="2017-06-28T00:00:00"/>
    <s v="Standard Class"/>
    <s v="CJ-12010"/>
    <s v="Caroline Jumper"/>
    <s v="Consumer"/>
    <s v="United States"/>
    <s v="Huntington Beach"/>
    <s v="California"/>
    <n v="92646"/>
    <x v="1"/>
    <s v="OFF-AR-10004344"/>
    <x v="1"/>
    <s v="Art"/>
    <x v="370"/>
    <n v="95.92"/>
    <n v="8"/>
    <n v="0"/>
    <n v="25.898399999999999"/>
    <s v="Low"/>
  </r>
  <r>
    <n v="418"/>
    <s v="CA-2016-148796"/>
    <x v="167"/>
    <d v="2016-04-18T00:00:00"/>
    <s v="Standard Class"/>
    <s v="PB-19150"/>
    <s v="Philip Brown"/>
    <s v="Consumer"/>
    <s v="United States"/>
    <s v="Los Angeles"/>
    <s v="California"/>
    <n v="90004"/>
    <x v="1"/>
    <s v="FUR-CH-10004886"/>
    <x v="0"/>
    <s v="Chairs"/>
    <x v="371"/>
    <n v="383.8"/>
    <n v="5"/>
    <n v="0.2"/>
    <n v="38.380000000000003"/>
    <s v="Low"/>
  </r>
  <r>
    <n v="419"/>
    <s v="CA-2017-154816"/>
    <x v="44"/>
    <d v="2017-11-10T00:00:00"/>
    <s v="Standard Class"/>
    <s v="VB-21745"/>
    <s v="Victoria Brennan"/>
    <s v="Corporate"/>
    <s v="United States"/>
    <s v="Richmond"/>
    <s v="Kentucky"/>
    <n v="40475"/>
    <x v="0"/>
    <s v="OFF-PA-10003845"/>
    <x v="1"/>
    <s v="Paper"/>
    <x v="372"/>
    <n v="5.78"/>
    <n v="1"/>
    <n v="0"/>
    <n v="2.8321999999999998"/>
    <s v="Low"/>
  </r>
  <r>
    <n v="420"/>
    <s v="CA-2017-110478"/>
    <x v="168"/>
    <d v="2017-03-09T00:00:00"/>
    <s v="Standard Class"/>
    <s v="SP-20860"/>
    <s v="Sung Pak"/>
    <s v="Corporate"/>
    <s v="United States"/>
    <s v="Los Angeles"/>
    <s v="California"/>
    <n v="90045"/>
    <x v="1"/>
    <s v="OFF-AR-10001573"/>
    <x v="1"/>
    <s v="Art"/>
    <x v="373"/>
    <n v="9.32"/>
    <n v="4"/>
    <n v="0"/>
    <n v="2.7027999999999999"/>
    <s v="Low"/>
  </r>
  <r>
    <n v="421"/>
    <s v="CA-2017-110478"/>
    <x v="168"/>
    <d v="2017-03-09T00:00:00"/>
    <s v="Standard Class"/>
    <s v="SP-20860"/>
    <s v="Sung Pak"/>
    <s v="Corporate"/>
    <s v="United States"/>
    <s v="Los Angeles"/>
    <s v="California"/>
    <n v="90045"/>
    <x v="1"/>
    <s v="OFF-EN-10000483"/>
    <x v="1"/>
    <s v="Envelopes"/>
    <x v="374"/>
    <n v="15.25"/>
    <n v="1"/>
    <n v="0"/>
    <n v="7.0149999999999997"/>
    <s v="Low"/>
  </r>
  <r>
    <n v="422"/>
    <s v="CA-2014-142048"/>
    <x v="169"/>
    <d v="2014-06-25T00:00:00"/>
    <s v="First Class"/>
    <s v="JE-15745"/>
    <s v="Joel Eaton"/>
    <s v="Consumer"/>
    <s v="United States"/>
    <s v="Louisville"/>
    <s v="Colorado"/>
    <n v="80027"/>
    <x v="1"/>
    <s v="TEC-AC-10004114"/>
    <x v="2"/>
    <s v="Accessories"/>
    <x v="375"/>
    <n v="196.75200000000001"/>
    <n v="6"/>
    <n v="0.2"/>
    <n v="56.566200000000002"/>
    <s v="Low"/>
  </r>
  <r>
    <n v="423"/>
    <s v="CA-2017-125388"/>
    <x v="15"/>
    <d v="2017-10-23T00:00:00"/>
    <s v="Standard Class"/>
    <s v="MP-17965"/>
    <s v="Michael Paige"/>
    <s v="Corporate"/>
    <s v="United States"/>
    <s v="Lawrence"/>
    <s v="Massachusetts"/>
    <n v="1841"/>
    <x v="3"/>
    <s v="FUR-FU-10004712"/>
    <x v="0"/>
    <s v="Furnishings"/>
    <x v="376"/>
    <n v="56.56"/>
    <n v="4"/>
    <n v="0"/>
    <n v="14.7056"/>
    <s v="Low"/>
  </r>
  <r>
    <n v="424"/>
    <s v="CA-2017-125388"/>
    <x v="15"/>
    <d v="2017-10-23T00:00:00"/>
    <s v="Standard Class"/>
    <s v="MP-17965"/>
    <s v="Michael Paige"/>
    <s v="Corporate"/>
    <s v="United States"/>
    <s v="Lawrence"/>
    <s v="Massachusetts"/>
    <n v="1841"/>
    <x v="3"/>
    <s v="OFF-ST-10000918"/>
    <x v="1"/>
    <s v="Storage"/>
    <x v="377"/>
    <n v="32.700000000000003"/>
    <n v="3"/>
    <n v="0"/>
    <n v="8.5020000000000007"/>
    <s v="Low"/>
  </r>
  <r>
    <n v="425"/>
    <s v="CA-2017-155705"/>
    <x v="170"/>
    <d v="2017-08-23T00:00:00"/>
    <s v="Second Class"/>
    <s v="NF-18385"/>
    <s v="Natalie Fritzler"/>
    <s v="Consumer"/>
    <s v="United States"/>
    <s v="Jackson"/>
    <s v="Mississippi"/>
    <n v="39212"/>
    <x v="0"/>
    <s v="FUR-CH-10000015"/>
    <x v="0"/>
    <s v="Chairs"/>
    <x v="378"/>
    <n v="866.4"/>
    <n v="4"/>
    <n v="0"/>
    <n v="225.26400000000001"/>
    <s v="High"/>
  </r>
  <r>
    <n v="426"/>
    <s v="CA-2017-149160"/>
    <x v="51"/>
    <d v="2017-11-26T00:00:00"/>
    <s v="Second Class"/>
    <s v="JM-15265"/>
    <s v="Janet Molinari"/>
    <s v="Corporate"/>
    <s v="United States"/>
    <s v="Canton"/>
    <s v="Michigan"/>
    <n v="48187"/>
    <x v="2"/>
    <s v="FUR-FU-10003347"/>
    <x v="0"/>
    <s v="Furnishings"/>
    <x v="379"/>
    <n v="28.4"/>
    <n v="2"/>
    <n v="0"/>
    <n v="11.076000000000001"/>
    <s v="Low"/>
  </r>
  <r>
    <n v="427"/>
    <s v="CA-2017-149160"/>
    <x v="51"/>
    <d v="2017-11-26T00:00:00"/>
    <s v="Second Class"/>
    <s v="JM-15265"/>
    <s v="Janet Molinari"/>
    <s v="Corporate"/>
    <s v="United States"/>
    <s v="Canton"/>
    <s v="Michigan"/>
    <n v="48187"/>
    <x v="2"/>
    <s v="OFF-BI-10001543"/>
    <x v="1"/>
    <s v="Binders"/>
    <x v="380"/>
    <n v="287.92"/>
    <n v="8"/>
    <n v="0"/>
    <n v="138.20160000000001"/>
    <s v="Low"/>
  </r>
  <r>
    <n v="428"/>
    <s v="CA-2014-101476"/>
    <x v="171"/>
    <d v="2014-09-13T00:00:00"/>
    <s v="First Class"/>
    <s v="SD-20485"/>
    <s v="Shirley Daniels"/>
    <s v="Home Office"/>
    <s v="United States"/>
    <s v="New Rochelle"/>
    <s v="New York"/>
    <n v="10801"/>
    <x v="3"/>
    <s v="TEC-MA-10000029"/>
    <x v="2"/>
    <s v="Machines"/>
    <x v="381"/>
    <n v="69.989999999999995"/>
    <n v="1"/>
    <n v="0"/>
    <n v="30.095700000000001"/>
    <s v="Low"/>
  </r>
  <r>
    <n v="429"/>
    <s v="CA-2017-152275"/>
    <x v="172"/>
    <d v="2017-10-08T00:00:00"/>
    <s v="Standard Class"/>
    <s v="KH-16630"/>
    <s v="Ken Heidel"/>
    <s v="Corporate"/>
    <s v="United States"/>
    <s v="San Antonio"/>
    <s v="Texas"/>
    <n v="78207"/>
    <x v="2"/>
    <s v="OFF-AR-10000369"/>
    <x v="1"/>
    <s v="Art"/>
    <x v="382"/>
    <n v="6.6719999999999997"/>
    <n v="6"/>
    <n v="0.2"/>
    <n v="0.50039999999999996"/>
    <s v="Low"/>
  </r>
  <r>
    <n v="430"/>
    <s v="US-2016-123750"/>
    <x v="173"/>
    <d v="2016-04-21T00:00:00"/>
    <s v="Standard Class"/>
    <s v="RB-19795"/>
    <s v="Ross Baird"/>
    <s v="Home Office"/>
    <s v="United States"/>
    <s v="Gastonia"/>
    <s v="North Carolina"/>
    <n v="28052"/>
    <x v="0"/>
    <s v="OFF-BI-10004584"/>
    <x v="1"/>
    <s v="Binders"/>
    <x v="383"/>
    <n v="189.58799999999999"/>
    <n v="2"/>
    <n v="0.7"/>
    <n v="-145.35079999999999"/>
    <s v="Low"/>
  </r>
  <r>
    <n v="431"/>
    <s v="US-2016-123750"/>
    <x v="173"/>
    <d v="2016-04-21T00:00:00"/>
    <s v="Standard Class"/>
    <s v="RB-19795"/>
    <s v="Ross Baird"/>
    <s v="Home Office"/>
    <s v="United States"/>
    <s v="Gastonia"/>
    <s v="North Carolina"/>
    <n v="28052"/>
    <x v="0"/>
    <s v="TEC-AC-10004659"/>
    <x v="2"/>
    <s v="Accessories"/>
    <x v="172"/>
    <n v="408.74400000000003"/>
    <n v="7"/>
    <n v="0.2"/>
    <n v="76.639499999999998"/>
    <s v="Low"/>
  </r>
  <r>
    <n v="432"/>
    <s v="US-2016-123750"/>
    <x v="173"/>
    <d v="2016-04-21T00:00:00"/>
    <s v="Standard Class"/>
    <s v="RB-19795"/>
    <s v="Ross Baird"/>
    <s v="Home Office"/>
    <s v="United States"/>
    <s v="Gastonia"/>
    <s v="North Carolina"/>
    <n v="28052"/>
    <x v="0"/>
    <s v="TEC-AC-10004659"/>
    <x v="2"/>
    <s v="Accessories"/>
    <x v="172"/>
    <n v="291.95999999999998"/>
    <n v="5"/>
    <n v="0.2"/>
    <n v="54.7425"/>
    <s v="Low"/>
  </r>
  <r>
    <n v="433"/>
    <s v="US-2016-123750"/>
    <x v="173"/>
    <d v="2016-04-21T00:00:00"/>
    <s v="Standard Class"/>
    <s v="RB-19795"/>
    <s v="Ross Baird"/>
    <s v="Home Office"/>
    <s v="United States"/>
    <s v="Gastonia"/>
    <s v="North Carolina"/>
    <n v="28052"/>
    <x v="0"/>
    <s v="OFF-ST-10000617"/>
    <x v="1"/>
    <s v="Storage"/>
    <x v="384"/>
    <n v="4.7679999999999998"/>
    <n v="2"/>
    <n v="0.2"/>
    <n v="-0.77480000000000004"/>
    <s v="Low"/>
  </r>
  <r>
    <n v="434"/>
    <s v="CA-2016-127369"/>
    <x v="112"/>
    <d v="2016-06-07T00:00:00"/>
    <s v="First Class"/>
    <s v="DB-13060"/>
    <s v="Dave Brooks"/>
    <s v="Consumer"/>
    <s v="United States"/>
    <s v="Lowell"/>
    <s v="Massachusetts"/>
    <n v="1852"/>
    <x v="3"/>
    <s v="OFF-ST-10003306"/>
    <x v="1"/>
    <s v="Storage"/>
    <x v="385"/>
    <n v="714.3"/>
    <n v="5"/>
    <n v="0"/>
    <n v="207.14699999999999"/>
    <s v="High"/>
  </r>
  <r>
    <n v="435"/>
    <s v="US-2014-150574"/>
    <x v="174"/>
    <d v="2014-12-25T00:00:00"/>
    <s v="Standard Class"/>
    <s v="MK-18160"/>
    <s v="Mike Kennedy"/>
    <s v="Consumer"/>
    <s v="United States"/>
    <s v="Jacksonville"/>
    <s v="Florida"/>
    <n v="32216"/>
    <x v="0"/>
    <s v="OFF-BI-10000773"/>
    <x v="1"/>
    <s v="Binders"/>
    <x v="386"/>
    <n v="4.8120000000000003"/>
    <n v="2"/>
    <n v="0.7"/>
    <n v="-3.6892"/>
    <s v="Low"/>
  </r>
  <r>
    <n v="436"/>
    <s v="US-2014-150574"/>
    <x v="174"/>
    <d v="2014-12-25T00:00:00"/>
    <s v="Standard Class"/>
    <s v="MK-18160"/>
    <s v="Mike Kennedy"/>
    <s v="Consumer"/>
    <s v="United States"/>
    <s v="Jacksonville"/>
    <s v="Florida"/>
    <n v="32216"/>
    <x v="0"/>
    <s v="TEC-AC-10002600"/>
    <x v="2"/>
    <s v="Accessories"/>
    <x v="387"/>
    <n v="247.8"/>
    <n v="5"/>
    <n v="0.2"/>
    <n v="-18.585000000000001"/>
    <s v="Low"/>
  </r>
  <r>
    <n v="437"/>
    <s v="CA-2016-147375"/>
    <x v="1"/>
    <d v="2016-06-14T00:00:00"/>
    <s v="Second Class"/>
    <s v="PO-19180"/>
    <s v="Philisse Overcash"/>
    <s v="Home Office"/>
    <s v="United States"/>
    <s v="Chicago"/>
    <s v="Illinois"/>
    <n v="60623"/>
    <x v="2"/>
    <s v="TEC-MA-10002937"/>
    <x v="2"/>
    <s v="Machines"/>
    <x v="388"/>
    <n v="1007.979"/>
    <n v="3"/>
    <n v="0.3"/>
    <n v="43.199100000000001"/>
    <s v="High"/>
  </r>
  <r>
    <n v="438"/>
    <s v="CA-2016-147375"/>
    <x v="1"/>
    <d v="2016-06-14T00:00:00"/>
    <s v="Second Class"/>
    <s v="PO-19180"/>
    <s v="Philisse Overcash"/>
    <s v="Home Office"/>
    <s v="United States"/>
    <s v="Chicago"/>
    <s v="Illinois"/>
    <n v="60623"/>
    <x v="2"/>
    <s v="OFF-PA-10001970"/>
    <x v="1"/>
    <s v="Paper"/>
    <x v="366"/>
    <n v="313.488"/>
    <n v="7"/>
    <n v="0.2"/>
    <n v="113.63939999999999"/>
    <s v="Low"/>
  </r>
  <r>
    <n v="439"/>
    <s v="CA-2017-130043"/>
    <x v="175"/>
    <d v="2017-09-19T00:00:00"/>
    <s v="Standard Class"/>
    <s v="BB-11545"/>
    <s v="Brenda Bowman"/>
    <s v="Corporate"/>
    <s v="United States"/>
    <s v="Houston"/>
    <s v="Texas"/>
    <n v="77070"/>
    <x v="2"/>
    <s v="OFF-PA-10002230"/>
    <x v="1"/>
    <s v="Paper"/>
    <x v="389"/>
    <n v="31.872"/>
    <n v="8"/>
    <n v="0.2"/>
    <n v="11.553599999999999"/>
    <s v="Low"/>
  </r>
  <r>
    <n v="440"/>
    <s v="CA-2017-157252"/>
    <x v="176"/>
    <d v="2017-01-23T00:00:00"/>
    <s v="Second Class"/>
    <s v="CV-12805"/>
    <s v="Cynthia Voltz"/>
    <s v="Corporate"/>
    <s v="United States"/>
    <s v="New York City"/>
    <s v="New York"/>
    <n v="10024"/>
    <x v="3"/>
    <s v="FUR-CH-10003396"/>
    <x v="0"/>
    <s v="Chairs"/>
    <x v="390"/>
    <n v="207.846"/>
    <n v="3"/>
    <n v="0.1"/>
    <n v="2.3094000000000001"/>
    <s v="Low"/>
  </r>
  <r>
    <n v="441"/>
    <s v="CA-2016-115756"/>
    <x v="64"/>
    <d v="2016-09-07T00:00:00"/>
    <s v="Second Class"/>
    <s v="PK-19075"/>
    <s v="Pete Kriz"/>
    <s v="Consumer"/>
    <s v="United States"/>
    <s v="Detroit"/>
    <s v="Michigan"/>
    <n v="48227"/>
    <x v="2"/>
    <s v="FUR-FU-10000246"/>
    <x v="0"/>
    <s v="Furnishings"/>
    <x v="391"/>
    <n v="12.22"/>
    <n v="1"/>
    <n v="0"/>
    <n v="3.6659999999999999"/>
    <s v="Low"/>
  </r>
  <r>
    <n v="442"/>
    <s v="CA-2016-115756"/>
    <x v="64"/>
    <d v="2016-09-07T00:00:00"/>
    <s v="Second Class"/>
    <s v="PK-19075"/>
    <s v="Pete Kriz"/>
    <s v="Consumer"/>
    <s v="United States"/>
    <s v="Detroit"/>
    <s v="Michigan"/>
    <n v="48227"/>
    <x v="2"/>
    <s v="OFF-ST-10000060"/>
    <x v="1"/>
    <s v="Storage"/>
    <x v="392"/>
    <n v="194.94"/>
    <n v="3"/>
    <n v="0"/>
    <n v="23.392800000000001"/>
    <s v="Low"/>
  </r>
  <r>
    <n v="443"/>
    <s v="CA-2016-115756"/>
    <x v="64"/>
    <d v="2016-09-07T00:00:00"/>
    <s v="Second Class"/>
    <s v="PK-19075"/>
    <s v="Pete Kriz"/>
    <s v="Consumer"/>
    <s v="United States"/>
    <s v="Detroit"/>
    <s v="Michigan"/>
    <n v="48227"/>
    <x v="2"/>
    <s v="OFF-ST-10003058"/>
    <x v="1"/>
    <s v="Storage"/>
    <x v="393"/>
    <n v="70.95"/>
    <n v="3"/>
    <n v="0"/>
    <n v="20.575500000000002"/>
    <s v="Low"/>
  </r>
  <r>
    <n v="444"/>
    <s v="CA-2016-115756"/>
    <x v="64"/>
    <d v="2016-09-07T00:00:00"/>
    <s v="Second Class"/>
    <s v="PK-19075"/>
    <s v="Pete Kriz"/>
    <s v="Consumer"/>
    <s v="United States"/>
    <s v="Detroit"/>
    <s v="Michigan"/>
    <n v="48227"/>
    <x v="2"/>
    <s v="OFF-PA-10002222"/>
    <x v="1"/>
    <s v="Paper"/>
    <x v="394"/>
    <n v="91.36"/>
    <n v="4"/>
    <n v="0"/>
    <n v="42.025599999999997"/>
    <s v="Low"/>
  </r>
  <r>
    <n v="445"/>
    <s v="CA-2016-115756"/>
    <x v="64"/>
    <d v="2016-09-07T00:00:00"/>
    <s v="Second Class"/>
    <s v="PK-19075"/>
    <s v="Pete Kriz"/>
    <s v="Consumer"/>
    <s v="United States"/>
    <s v="Detroit"/>
    <s v="Michigan"/>
    <n v="48227"/>
    <x v="2"/>
    <s v="FUR-CH-10002372"/>
    <x v="0"/>
    <s v="Chairs"/>
    <x v="395"/>
    <n v="242.94"/>
    <n v="3"/>
    <n v="0"/>
    <n v="29.152799999999999"/>
    <s v="Low"/>
  </r>
  <r>
    <n v="446"/>
    <s v="CA-2016-115756"/>
    <x v="64"/>
    <d v="2016-09-07T00:00:00"/>
    <s v="Second Class"/>
    <s v="PK-19075"/>
    <s v="Pete Kriz"/>
    <s v="Consumer"/>
    <s v="United States"/>
    <s v="Detroit"/>
    <s v="Michigan"/>
    <n v="48227"/>
    <x v="2"/>
    <s v="OFF-LA-10001317"/>
    <x v="1"/>
    <s v="Labels"/>
    <x v="396"/>
    <n v="22.05"/>
    <n v="7"/>
    <n v="0"/>
    <n v="10.584"/>
    <s v="Low"/>
  </r>
  <r>
    <n v="447"/>
    <s v="CA-2017-154214"/>
    <x v="177"/>
    <d v="2017-03-25T00:00:00"/>
    <s v="Second Class"/>
    <s v="TB-21595"/>
    <s v="Troy Blackwell"/>
    <s v="Consumer"/>
    <s v="United States"/>
    <s v="Columbus"/>
    <s v="Indiana"/>
    <n v="47201"/>
    <x v="2"/>
    <s v="FUR-FU-10000206"/>
    <x v="0"/>
    <s v="Furnishings"/>
    <x v="397"/>
    <n v="2.91"/>
    <n v="1"/>
    <n v="0"/>
    <n v="1.3676999999999999"/>
    <s v="Low"/>
  </r>
  <r>
    <n v="448"/>
    <s v="CA-2016-166674"/>
    <x v="178"/>
    <d v="2016-04-03T00:00:00"/>
    <s v="Second Class"/>
    <s v="RB-19360"/>
    <s v="Raymond Buch"/>
    <s v="Consumer"/>
    <s v="United States"/>
    <s v="Auburn"/>
    <s v="New York"/>
    <n v="13021"/>
    <x v="3"/>
    <s v="OFF-AR-10000588"/>
    <x v="1"/>
    <s v="Art"/>
    <x v="398"/>
    <n v="59.52"/>
    <n v="3"/>
    <n v="0"/>
    <n v="15.475199999999999"/>
    <s v="Low"/>
  </r>
  <r>
    <n v="449"/>
    <s v="CA-2016-166674"/>
    <x v="178"/>
    <d v="2016-04-03T00:00:00"/>
    <s v="Second Class"/>
    <s v="RB-19360"/>
    <s v="Raymond Buch"/>
    <s v="Consumer"/>
    <s v="United States"/>
    <s v="Auburn"/>
    <s v="New York"/>
    <n v="13021"/>
    <x v="3"/>
    <s v="OFF-ST-10001469"/>
    <x v="1"/>
    <s v="Storage"/>
    <x v="399"/>
    <n v="161.94"/>
    <n v="3"/>
    <n v="0"/>
    <n v="9.7164000000000001"/>
    <s v="Low"/>
  </r>
  <r>
    <n v="450"/>
    <s v="CA-2016-166674"/>
    <x v="178"/>
    <d v="2016-04-03T00:00:00"/>
    <s v="Second Class"/>
    <s v="RB-19360"/>
    <s v="Raymond Buch"/>
    <s v="Consumer"/>
    <s v="United States"/>
    <s v="Auburn"/>
    <s v="New York"/>
    <n v="13021"/>
    <x v="3"/>
    <s v="OFF-AR-10001953"/>
    <x v="1"/>
    <s v="Art"/>
    <x v="400"/>
    <n v="263.88"/>
    <n v="6"/>
    <n v="0"/>
    <n v="71.247600000000006"/>
    <s v="Low"/>
  </r>
  <r>
    <n v="451"/>
    <s v="CA-2016-166674"/>
    <x v="178"/>
    <d v="2016-04-03T00:00:00"/>
    <s v="Second Class"/>
    <s v="RB-19360"/>
    <s v="Raymond Buch"/>
    <s v="Consumer"/>
    <s v="United States"/>
    <s v="Auburn"/>
    <s v="New York"/>
    <n v="13021"/>
    <x v="3"/>
    <s v="OFF-AR-10003156"/>
    <x v="1"/>
    <s v="Art"/>
    <x v="401"/>
    <n v="30.48"/>
    <n v="3"/>
    <n v="0"/>
    <n v="7.9248000000000003"/>
    <s v="Low"/>
  </r>
  <r>
    <n v="452"/>
    <s v="CA-2016-166674"/>
    <x v="178"/>
    <d v="2016-04-03T00:00:00"/>
    <s v="Second Class"/>
    <s v="RB-19360"/>
    <s v="Raymond Buch"/>
    <s v="Consumer"/>
    <s v="United States"/>
    <s v="Auburn"/>
    <s v="New York"/>
    <n v="13021"/>
    <x v="3"/>
    <s v="OFF-AR-10004974"/>
    <x v="1"/>
    <s v="Art"/>
    <x v="402"/>
    <n v="9.84"/>
    <n v="3"/>
    <n v="0"/>
    <n v="2.8536000000000001"/>
    <s v="Low"/>
  </r>
  <r>
    <n v="453"/>
    <s v="CA-2016-166674"/>
    <x v="178"/>
    <d v="2016-04-03T00:00:00"/>
    <s v="Second Class"/>
    <s v="RB-19360"/>
    <s v="Raymond Buch"/>
    <s v="Consumer"/>
    <s v="United States"/>
    <s v="Auburn"/>
    <s v="New York"/>
    <n v="13021"/>
    <x v="3"/>
    <s v="TEC-PH-10002365"/>
    <x v="2"/>
    <s v="Phones"/>
    <x v="403"/>
    <n v="35.119999999999997"/>
    <n v="4"/>
    <n v="0"/>
    <n v="9.1311999999999998"/>
    <s v="Low"/>
  </r>
  <r>
    <n v="454"/>
    <s v="CA-2017-147277"/>
    <x v="179"/>
    <d v="2017-10-24T00:00:00"/>
    <s v="Standard Class"/>
    <s v="EB-13705"/>
    <s v="Ed Braxton"/>
    <s v="Corporate"/>
    <s v="United States"/>
    <s v="Akron"/>
    <s v="Ohio"/>
    <n v="44312"/>
    <x v="3"/>
    <s v="FUR-TA-10001539"/>
    <x v="0"/>
    <s v="Tables"/>
    <x v="10"/>
    <n v="284.36399999999998"/>
    <n v="2"/>
    <n v="0.4"/>
    <n v="-75.830399999999997"/>
    <s v="Low"/>
  </r>
  <r>
    <n v="455"/>
    <s v="CA-2017-147277"/>
    <x v="179"/>
    <d v="2017-10-24T00:00:00"/>
    <s v="Standard Class"/>
    <s v="EB-13705"/>
    <s v="Ed Braxton"/>
    <s v="Corporate"/>
    <s v="United States"/>
    <s v="Akron"/>
    <s v="Ohio"/>
    <n v="44312"/>
    <x v="3"/>
    <s v="OFF-ST-10000142"/>
    <x v="1"/>
    <s v="Storage"/>
    <x v="404"/>
    <n v="665.40800000000002"/>
    <n v="2"/>
    <n v="0.2"/>
    <n v="66.540800000000004"/>
    <s v="High"/>
  </r>
  <r>
    <n v="456"/>
    <s v="CA-2016-100153"/>
    <x v="180"/>
    <d v="2016-12-17T00:00:00"/>
    <s v="Standard Class"/>
    <s v="KH-16630"/>
    <s v="Ken Heidel"/>
    <s v="Corporate"/>
    <s v="United States"/>
    <s v="Norman"/>
    <s v="Oklahoma"/>
    <n v="73071"/>
    <x v="2"/>
    <s v="TEC-AC-10001772"/>
    <x v="2"/>
    <s v="Accessories"/>
    <x v="405"/>
    <n v="63.88"/>
    <n v="4"/>
    <n v="0"/>
    <n v="24.9132"/>
    <s v="Low"/>
  </r>
  <r>
    <n v="457"/>
    <s v="US-2014-110674"/>
    <x v="181"/>
    <d v="2014-02-18T00:00:00"/>
    <s v="Standard Class"/>
    <s v="SC-20095"/>
    <s v="Sanjit Chand"/>
    <s v="Consumer"/>
    <s v="United States"/>
    <s v="Concord"/>
    <s v="California"/>
    <n v="94521"/>
    <x v="1"/>
    <s v="FUR-CH-10000225"/>
    <x v="0"/>
    <s v="Chairs"/>
    <x v="406"/>
    <n v="129.56800000000001"/>
    <n v="2"/>
    <n v="0.2"/>
    <n v="-24.294"/>
    <s v="Low"/>
  </r>
  <r>
    <n v="458"/>
    <s v="US-2016-157945"/>
    <x v="182"/>
    <d v="2016-10-01T00:00:00"/>
    <s v="Standard Class"/>
    <s v="NF-18385"/>
    <s v="Natalie Fritzler"/>
    <s v="Consumer"/>
    <s v="United States"/>
    <s v="Decatur"/>
    <s v="Illinois"/>
    <n v="62521"/>
    <x v="2"/>
    <s v="FUR-CH-10002331"/>
    <x v="0"/>
    <s v="Chairs"/>
    <x v="407"/>
    <n v="747.55799999999999"/>
    <n v="3"/>
    <n v="0.3"/>
    <n v="-96.114599999999996"/>
    <s v="High"/>
  </r>
  <r>
    <n v="459"/>
    <s v="US-2016-157945"/>
    <x v="182"/>
    <d v="2016-10-01T00:00:00"/>
    <s v="Standard Class"/>
    <s v="NF-18385"/>
    <s v="Natalie Fritzler"/>
    <s v="Consumer"/>
    <s v="United States"/>
    <s v="Decatur"/>
    <s v="Illinois"/>
    <n v="62521"/>
    <x v="2"/>
    <s v="OFF-EN-10001415"/>
    <x v="1"/>
    <s v="Envelopes"/>
    <x v="153"/>
    <n v="8.9280000000000008"/>
    <n v="2"/>
    <n v="0.2"/>
    <n v="3.3479999999999999"/>
    <s v="Low"/>
  </r>
  <r>
    <n v="460"/>
    <s v="CA-2015-109638"/>
    <x v="83"/>
    <d v="2015-12-22T00:00:00"/>
    <s v="Standard Class"/>
    <s v="JH-15985"/>
    <s v="Joseph Holt"/>
    <s v="Consumer"/>
    <s v="United States"/>
    <s v="Seattle"/>
    <s v="Washington"/>
    <n v="98115"/>
    <x v="1"/>
    <s v="OFF-AP-10002472"/>
    <x v="1"/>
    <s v="Appliances"/>
    <x v="408"/>
    <n v="103.92"/>
    <n v="4"/>
    <n v="0"/>
    <n v="36.372"/>
    <s v="Low"/>
  </r>
  <r>
    <n v="461"/>
    <s v="CA-2015-109638"/>
    <x v="83"/>
    <d v="2015-12-22T00:00:00"/>
    <s v="Standard Class"/>
    <s v="JH-15985"/>
    <s v="Joseph Holt"/>
    <s v="Consumer"/>
    <s v="United States"/>
    <s v="Seattle"/>
    <s v="Washington"/>
    <n v="98115"/>
    <x v="1"/>
    <s v="TEC-AC-10004571"/>
    <x v="2"/>
    <s v="Accessories"/>
    <x v="409"/>
    <n v="899.91"/>
    <n v="9"/>
    <n v="0"/>
    <n v="377.9622"/>
    <s v="High"/>
  </r>
  <r>
    <n v="462"/>
    <s v="CA-2015-109638"/>
    <x v="83"/>
    <d v="2015-12-22T00:00:00"/>
    <s v="Standard Class"/>
    <s v="JH-15985"/>
    <s v="Joseph Holt"/>
    <s v="Consumer"/>
    <s v="United States"/>
    <s v="Seattle"/>
    <s v="Washington"/>
    <n v="98115"/>
    <x v="1"/>
    <s v="OFF-BI-10001098"/>
    <x v="1"/>
    <s v="Binders"/>
    <x v="410"/>
    <n v="51.311999999999998"/>
    <n v="3"/>
    <n v="0.2"/>
    <n v="18.6006"/>
    <s v="Low"/>
  </r>
  <r>
    <n v="463"/>
    <s v="CA-2016-109869"/>
    <x v="183"/>
    <d v="2016-04-29T00:00:00"/>
    <s v="Standard Class"/>
    <s v="TN-21040"/>
    <s v="Tanja Norvell"/>
    <s v="Home Office"/>
    <s v="United States"/>
    <s v="Phoenix"/>
    <s v="Arizona"/>
    <n v="85023"/>
    <x v="1"/>
    <s v="FUR-FU-10000023"/>
    <x v="0"/>
    <s v="Furnishings"/>
    <x v="325"/>
    <n v="23.56"/>
    <n v="5"/>
    <n v="0.2"/>
    <n v="7.0679999999999996"/>
    <s v="Low"/>
  </r>
  <r>
    <n v="464"/>
    <s v="CA-2016-109869"/>
    <x v="183"/>
    <d v="2016-04-29T00:00:00"/>
    <s v="Standard Class"/>
    <s v="TN-21040"/>
    <s v="Tanja Norvell"/>
    <s v="Home Office"/>
    <s v="United States"/>
    <s v="Phoenix"/>
    <s v="Arizona"/>
    <n v="85023"/>
    <x v="1"/>
    <s v="FUR-TA-10001889"/>
    <x v="0"/>
    <s v="Tables"/>
    <x v="411"/>
    <n v="1272.6300000000001"/>
    <n v="6"/>
    <n v="0.5"/>
    <n v="-814.48320000000001"/>
    <s v="High"/>
  </r>
  <r>
    <n v="465"/>
    <s v="CA-2016-109869"/>
    <x v="183"/>
    <d v="2016-04-29T00:00:00"/>
    <s v="Standard Class"/>
    <s v="TN-21040"/>
    <s v="Tanja Norvell"/>
    <s v="Home Office"/>
    <s v="United States"/>
    <s v="Phoenix"/>
    <s v="Arizona"/>
    <n v="85023"/>
    <x v="1"/>
    <s v="OFF-BI-10000315"/>
    <x v="1"/>
    <s v="Binders"/>
    <x v="412"/>
    <n v="28.484999999999999"/>
    <n v="5"/>
    <n v="0.7"/>
    <n v="-20.888999999999999"/>
    <s v="Low"/>
  </r>
  <r>
    <n v="466"/>
    <s v="CA-2016-109869"/>
    <x v="183"/>
    <d v="2016-04-29T00:00:00"/>
    <s v="Standard Class"/>
    <s v="TN-21040"/>
    <s v="Tanja Norvell"/>
    <s v="Home Office"/>
    <s v="United States"/>
    <s v="Phoenix"/>
    <s v="Arizona"/>
    <n v="85023"/>
    <x v="1"/>
    <s v="OFF-SU-10003505"/>
    <x v="1"/>
    <s v="Supplies"/>
    <x v="413"/>
    <n v="185.376"/>
    <n v="2"/>
    <n v="0.2"/>
    <n v="-34.758000000000003"/>
    <s v="Low"/>
  </r>
  <r>
    <n v="467"/>
    <s v="CA-2016-109869"/>
    <x v="183"/>
    <d v="2016-04-29T00:00:00"/>
    <s v="Standard Class"/>
    <s v="TN-21040"/>
    <s v="Tanja Norvell"/>
    <s v="Home Office"/>
    <s v="United States"/>
    <s v="Phoenix"/>
    <s v="Arizona"/>
    <n v="85023"/>
    <x v="1"/>
    <s v="OFF-AP-10002578"/>
    <x v="1"/>
    <s v="Appliances"/>
    <x v="414"/>
    <n v="78.272000000000006"/>
    <n v="2"/>
    <n v="0.2"/>
    <n v="5.8704000000000001"/>
    <s v="Low"/>
  </r>
  <r>
    <n v="468"/>
    <s v="US-2015-101399"/>
    <x v="184"/>
    <d v="2015-01-24T00:00:00"/>
    <s v="Standard Class"/>
    <s v="JS-15940"/>
    <s v="Joni Sundaresam"/>
    <s v="Home Office"/>
    <s v="United States"/>
    <s v="Park Ridge"/>
    <s v="Illinois"/>
    <n v="60068"/>
    <x v="2"/>
    <s v="FUR-FU-10002918"/>
    <x v="0"/>
    <s v="Furnishings"/>
    <x v="269"/>
    <n v="254.744"/>
    <n v="7"/>
    <n v="0.6"/>
    <n v="-312.06139999999999"/>
    <s v="Low"/>
  </r>
  <r>
    <n v="469"/>
    <s v="CA-2017-154907"/>
    <x v="185"/>
    <d v="2017-04-04T00:00:00"/>
    <s v="Standard Class"/>
    <s v="DS-13180"/>
    <s v="David Smith"/>
    <s v="Corporate"/>
    <s v="United States"/>
    <s v="Amarillo"/>
    <s v="Texas"/>
    <n v="79109"/>
    <x v="2"/>
    <s v="FUR-BO-10002824"/>
    <x v="0"/>
    <s v="Bookcases"/>
    <x v="415"/>
    <n v="205.33279999999999"/>
    <n v="2"/>
    <n v="0.32"/>
    <n v="-36.235199999999999"/>
    <s v="Low"/>
  </r>
  <r>
    <n v="470"/>
    <s v="US-2016-100419"/>
    <x v="186"/>
    <d v="2016-12-20T00:00:00"/>
    <s v="Second Class"/>
    <s v="CC-12670"/>
    <s v="Craig Carreira"/>
    <s v="Consumer"/>
    <s v="United States"/>
    <s v="Chicago"/>
    <s v="Illinois"/>
    <n v="60610"/>
    <x v="2"/>
    <s v="OFF-BI-10002194"/>
    <x v="1"/>
    <s v="Binders"/>
    <x v="416"/>
    <n v="4.7880000000000003"/>
    <n v="3"/>
    <n v="0.8"/>
    <n v="-7.9001999999999999"/>
    <s v="Low"/>
  </r>
  <r>
    <n v="471"/>
    <s v="CA-2015-154144"/>
    <x v="139"/>
    <d v="2015-12-24T00:00:00"/>
    <s v="Standard Class"/>
    <s v="MH-17785"/>
    <s v="Maya Herman"/>
    <s v="Corporate"/>
    <s v="United States"/>
    <s v="Lindenhurst"/>
    <s v="New York"/>
    <n v="11757"/>
    <x v="3"/>
    <s v="OFF-PA-10004071"/>
    <x v="1"/>
    <s v="Paper"/>
    <x v="417"/>
    <n v="55.48"/>
    <n v="1"/>
    <n v="0"/>
    <n v="26.630400000000002"/>
    <s v="Low"/>
  </r>
  <r>
    <n v="472"/>
    <s v="CA-2014-144666"/>
    <x v="187"/>
    <d v="2014-11-11T00:00:00"/>
    <s v="Second Class"/>
    <s v="JP-15520"/>
    <s v="Jeremy Pistek"/>
    <s v="Consumer"/>
    <s v="United States"/>
    <s v="San Francisco"/>
    <s v="California"/>
    <n v="94110"/>
    <x v="1"/>
    <s v="OFF-ST-10002743"/>
    <x v="1"/>
    <s v="Storage"/>
    <x v="418"/>
    <n v="340.92"/>
    <n v="3"/>
    <n v="0"/>
    <n v="3.4091999999999998"/>
    <s v="Low"/>
  </r>
  <r>
    <n v="473"/>
    <s v="CA-2014-144666"/>
    <x v="187"/>
    <d v="2014-11-11T00:00:00"/>
    <s v="Second Class"/>
    <s v="JP-15520"/>
    <s v="Jeremy Pistek"/>
    <s v="Consumer"/>
    <s v="United States"/>
    <s v="San Francisco"/>
    <s v="California"/>
    <n v="94110"/>
    <x v="1"/>
    <s v="FUR-BO-10001601"/>
    <x v="0"/>
    <s v="Bookcases"/>
    <x v="419"/>
    <n v="222.666"/>
    <n v="2"/>
    <n v="0.15"/>
    <n v="10.478400000000001"/>
    <s v="Low"/>
  </r>
  <r>
    <n v="474"/>
    <s v="CA-2014-144666"/>
    <x v="187"/>
    <d v="2014-11-11T00:00:00"/>
    <s v="Second Class"/>
    <s v="JP-15520"/>
    <s v="Jeremy Pistek"/>
    <s v="Consumer"/>
    <s v="United States"/>
    <s v="San Francisco"/>
    <s v="California"/>
    <n v="94110"/>
    <x v="1"/>
    <s v="TEC-PH-10002680"/>
    <x v="2"/>
    <s v="Phones"/>
    <x v="420"/>
    <n v="703.96799999999996"/>
    <n v="4"/>
    <n v="0.2"/>
    <n v="87.995999999999995"/>
    <s v="High"/>
  </r>
  <r>
    <n v="475"/>
    <s v="CA-2014-144666"/>
    <x v="187"/>
    <d v="2014-11-11T00:00:00"/>
    <s v="Second Class"/>
    <s v="JP-15520"/>
    <s v="Jeremy Pistek"/>
    <s v="Consumer"/>
    <s v="United States"/>
    <s v="San Francisco"/>
    <s v="California"/>
    <n v="94110"/>
    <x v="1"/>
    <s v="OFF-ST-10001321"/>
    <x v="1"/>
    <s v="Storage"/>
    <x v="421"/>
    <n v="92.52"/>
    <n v="6"/>
    <n v="0"/>
    <n v="24.980399999999999"/>
    <s v="Low"/>
  </r>
  <r>
    <n v="476"/>
    <s v="CA-2014-144666"/>
    <x v="187"/>
    <d v="2014-11-11T00:00:00"/>
    <s v="Second Class"/>
    <s v="JP-15520"/>
    <s v="Jeremy Pistek"/>
    <s v="Consumer"/>
    <s v="United States"/>
    <s v="San Francisco"/>
    <s v="California"/>
    <n v="94110"/>
    <x v="1"/>
    <s v="OFF-PA-10001509"/>
    <x v="1"/>
    <s v="Paper"/>
    <x v="422"/>
    <n v="62.65"/>
    <n v="7"/>
    <n v="0"/>
    <n v="28.818999999999999"/>
    <s v="Low"/>
  </r>
  <r>
    <n v="477"/>
    <s v="CA-2014-144666"/>
    <x v="187"/>
    <d v="2014-11-11T00:00:00"/>
    <s v="Second Class"/>
    <s v="JP-15520"/>
    <s v="Jeremy Pistek"/>
    <s v="Consumer"/>
    <s v="United States"/>
    <s v="San Francisco"/>
    <s v="California"/>
    <n v="94110"/>
    <x v="1"/>
    <s v="OFF-PA-10003465"/>
    <x v="1"/>
    <s v="Paper"/>
    <x v="423"/>
    <n v="94.85"/>
    <n v="5"/>
    <n v="0"/>
    <n v="45.527999999999999"/>
    <s v="Low"/>
  </r>
  <r>
    <n v="478"/>
    <s v="CA-2016-103891"/>
    <x v="188"/>
    <d v="2016-07-19T00:00:00"/>
    <s v="Standard Class"/>
    <s v="KH-16690"/>
    <s v="Kristen Hastings"/>
    <s v="Corporate"/>
    <s v="United States"/>
    <s v="Los Angeles"/>
    <s v="California"/>
    <n v="90008"/>
    <x v="1"/>
    <s v="TEC-PH-10000149"/>
    <x v="2"/>
    <s v="Phones"/>
    <x v="424"/>
    <n v="95.76"/>
    <n v="6"/>
    <n v="0.2"/>
    <n v="7.1820000000000004"/>
    <s v="Low"/>
  </r>
  <r>
    <n v="479"/>
    <s v="CA-2016-152632"/>
    <x v="189"/>
    <d v="2016-11-02T00:00:00"/>
    <s v="Standard Class"/>
    <s v="JE-15475"/>
    <s v="Jeremy Ellison"/>
    <s v="Consumer"/>
    <s v="United States"/>
    <s v="Troy"/>
    <s v="New York"/>
    <n v="12180"/>
    <x v="3"/>
    <s v="FUR-FU-10002671"/>
    <x v="0"/>
    <s v="Furnishings"/>
    <x v="278"/>
    <n v="40.200000000000003"/>
    <n v="3"/>
    <n v="0"/>
    <n v="19.295999999999999"/>
    <s v="Low"/>
  </r>
  <r>
    <n v="480"/>
    <s v="CA-2016-100790"/>
    <x v="190"/>
    <d v="2016-07-02T00:00:00"/>
    <s v="Standard Class"/>
    <s v="JG-15805"/>
    <s v="John Grady"/>
    <s v="Corporate"/>
    <s v="United States"/>
    <s v="New York City"/>
    <s v="New York"/>
    <n v="10024"/>
    <x v="3"/>
    <s v="OFF-AR-10003045"/>
    <x v="1"/>
    <s v="Art"/>
    <x v="425"/>
    <n v="14.7"/>
    <n v="5"/>
    <n v="0"/>
    <n v="6.6150000000000002"/>
    <s v="Low"/>
  </r>
  <r>
    <n v="481"/>
    <s v="CA-2016-100790"/>
    <x v="190"/>
    <d v="2016-07-02T00:00:00"/>
    <s v="Standard Class"/>
    <s v="JG-15805"/>
    <s v="John Grady"/>
    <s v="Corporate"/>
    <s v="United States"/>
    <s v="New York City"/>
    <s v="New York"/>
    <n v="10024"/>
    <x v="3"/>
    <s v="OFF-ST-10000689"/>
    <x v="1"/>
    <s v="Storage"/>
    <x v="426"/>
    <n v="704.25"/>
    <n v="5"/>
    <n v="0"/>
    <n v="84.51"/>
    <s v="High"/>
  </r>
  <r>
    <n v="482"/>
    <s v="CA-2014-134677"/>
    <x v="191"/>
    <d v="2014-10-10T00:00:00"/>
    <s v="Standard Class"/>
    <s v="XP-21865"/>
    <s v="Xylona Preis"/>
    <s v="Consumer"/>
    <s v="United States"/>
    <s v="San Diego"/>
    <s v="California"/>
    <n v="92024"/>
    <x v="1"/>
    <s v="TEC-AC-10001445"/>
    <x v="2"/>
    <s v="Accessories"/>
    <x v="427"/>
    <n v="9.09"/>
    <n v="3"/>
    <n v="0"/>
    <n v="1.9089"/>
    <s v="Low"/>
  </r>
  <r>
    <n v="483"/>
    <s v="CA-2014-127691"/>
    <x v="192"/>
    <d v="2014-07-27T00:00:00"/>
    <s v="Standard Class"/>
    <s v="EM-14065"/>
    <s v="Erin Mull"/>
    <s v="Consumer"/>
    <s v="United States"/>
    <s v="New York City"/>
    <s v="New York"/>
    <n v="10024"/>
    <x v="3"/>
    <s v="OFF-AR-10002053"/>
    <x v="1"/>
    <s v="Art"/>
    <x v="79"/>
    <n v="5.96"/>
    <n v="2"/>
    <n v="0"/>
    <n v="1.6688000000000001"/>
    <s v="Low"/>
  </r>
  <r>
    <n v="484"/>
    <s v="CA-2014-127691"/>
    <x v="192"/>
    <d v="2014-07-27T00:00:00"/>
    <s v="Standard Class"/>
    <s v="EM-14065"/>
    <s v="Erin Mull"/>
    <s v="Consumer"/>
    <s v="United States"/>
    <s v="New York City"/>
    <s v="New York"/>
    <n v="10024"/>
    <x v="3"/>
    <s v="TEC-AC-10002567"/>
    <x v="2"/>
    <s v="Accessories"/>
    <x v="428"/>
    <n v="159.97999999999999"/>
    <n v="2"/>
    <n v="0"/>
    <n v="57.592799999999997"/>
    <s v="Low"/>
  </r>
  <r>
    <n v="485"/>
    <s v="CA-2017-140963"/>
    <x v="193"/>
    <d v="2017-06-13T00:00:00"/>
    <s v="First Class"/>
    <s v="MT-18070"/>
    <s v="Michelle Tran"/>
    <s v="Home Office"/>
    <s v="United States"/>
    <s v="Los Angeles"/>
    <s v="California"/>
    <n v="90045"/>
    <x v="1"/>
    <s v="OFF-LA-10003923"/>
    <x v="1"/>
    <s v="Labels"/>
    <x v="429"/>
    <n v="29.6"/>
    <n v="2"/>
    <n v="0"/>
    <n v="14.8"/>
    <s v="Low"/>
  </r>
  <r>
    <n v="486"/>
    <s v="CA-2017-140963"/>
    <x v="193"/>
    <d v="2017-06-13T00:00:00"/>
    <s v="First Class"/>
    <s v="MT-18070"/>
    <s v="Michelle Tran"/>
    <s v="Home Office"/>
    <s v="United States"/>
    <s v="Los Angeles"/>
    <s v="California"/>
    <n v="90045"/>
    <x v="1"/>
    <s v="FUR-BO-10001337"/>
    <x v="0"/>
    <s v="Bookcases"/>
    <x v="430"/>
    <n v="514.16499999999996"/>
    <n v="5"/>
    <n v="0.15"/>
    <n v="-30.245000000000001"/>
    <s v="High"/>
  </r>
  <r>
    <n v="487"/>
    <s v="CA-2017-140963"/>
    <x v="193"/>
    <d v="2017-06-13T00:00:00"/>
    <s v="First Class"/>
    <s v="MT-18070"/>
    <s v="Michelle Tran"/>
    <s v="Home Office"/>
    <s v="United States"/>
    <s v="Los Angeles"/>
    <s v="California"/>
    <n v="90045"/>
    <x v="1"/>
    <s v="TEC-PH-10001924"/>
    <x v="2"/>
    <s v="Phones"/>
    <x v="431"/>
    <n v="279.95999999999998"/>
    <n v="5"/>
    <n v="0.2"/>
    <n v="17.497499999999999"/>
    <s v="Low"/>
  </r>
  <r>
    <n v="488"/>
    <s v="CA-2014-154627"/>
    <x v="194"/>
    <d v="2014-10-31T00:00:00"/>
    <s v="First Class"/>
    <s v="SA-20830"/>
    <s v="Sue Ann Reed"/>
    <s v="Consumer"/>
    <s v="United States"/>
    <s v="Chicago"/>
    <s v="Illinois"/>
    <n v="60610"/>
    <x v="2"/>
    <s v="TEC-PH-10001363"/>
    <x v="2"/>
    <s v="Phones"/>
    <x v="432"/>
    <n v="2735.9520000000002"/>
    <n v="6"/>
    <n v="0.2"/>
    <n v="341.99400000000003"/>
    <s v="High"/>
  </r>
  <r>
    <n v="489"/>
    <s v="CA-2014-133753"/>
    <x v="3"/>
    <d v="2014-06-13T00:00:00"/>
    <s v="Second Class"/>
    <s v="CW-11905"/>
    <s v="Carl Weiss"/>
    <s v="Home Office"/>
    <s v="United States"/>
    <s v="Huntsville"/>
    <s v="Texas"/>
    <n v="77340"/>
    <x v="2"/>
    <s v="TEC-PH-10000376"/>
    <x v="2"/>
    <s v="Phones"/>
    <x v="433"/>
    <n v="7.992"/>
    <n v="1"/>
    <n v="0.2"/>
    <n v="0.59940000000000004"/>
    <s v="Low"/>
  </r>
  <r>
    <n v="490"/>
    <s v="CA-2014-133753"/>
    <x v="3"/>
    <d v="2014-06-13T00:00:00"/>
    <s v="Second Class"/>
    <s v="CW-11905"/>
    <s v="Carl Weiss"/>
    <s v="Home Office"/>
    <s v="United States"/>
    <s v="Huntsville"/>
    <s v="Texas"/>
    <n v="77340"/>
    <x v="2"/>
    <s v="TEC-AC-10000303"/>
    <x v="2"/>
    <s v="Accessories"/>
    <x v="434"/>
    <n v="63.984000000000002"/>
    <n v="2"/>
    <n v="0.2"/>
    <n v="10.397399999999999"/>
    <s v="Low"/>
  </r>
  <r>
    <n v="491"/>
    <s v="CA-2014-133753"/>
    <x v="3"/>
    <d v="2014-06-13T00:00:00"/>
    <s v="Second Class"/>
    <s v="CW-11905"/>
    <s v="Carl Weiss"/>
    <s v="Home Office"/>
    <s v="United States"/>
    <s v="Huntsville"/>
    <s v="Texas"/>
    <n v="77340"/>
    <x v="2"/>
    <s v="OFF-AR-10001953"/>
    <x v="1"/>
    <s v="Art"/>
    <x v="400"/>
    <n v="70.367999999999995"/>
    <n v="2"/>
    <n v="0.2"/>
    <n v="6.1571999999999996"/>
    <s v="Low"/>
  </r>
  <r>
    <n v="492"/>
    <s v="CA-2014-113362"/>
    <x v="80"/>
    <d v="2014-09-19T00:00:00"/>
    <s v="Standard Class"/>
    <s v="AJ-10960"/>
    <s v="Astrea Jones"/>
    <s v="Consumer"/>
    <s v="United States"/>
    <s v="Rochester"/>
    <s v="New York"/>
    <n v="14609"/>
    <x v="3"/>
    <s v="OFF-ST-10001809"/>
    <x v="1"/>
    <s v="Storage"/>
    <x v="435"/>
    <n v="449.15"/>
    <n v="5"/>
    <n v="0"/>
    <n v="8.9830000000000005"/>
    <s v="Low"/>
  </r>
  <r>
    <n v="493"/>
    <s v="CA-2014-113362"/>
    <x v="80"/>
    <d v="2014-09-19T00:00:00"/>
    <s v="Standard Class"/>
    <s v="AJ-10960"/>
    <s v="Astrea Jones"/>
    <s v="Consumer"/>
    <s v="United States"/>
    <s v="Rochester"/>
    <s v="New York"/>
    <n v="14609"/>
    <x v="3"/>
    <s v="OFF-EN-10003845"/>
    <x v="1"/>
    <s v="Envelopes"/>
    <x v="436"/>
    <n v="11.07"/>
    <n v="3"/>
    <n v="0"/>
    <n v="5.0922000000000001"/>
    <s v="Low"/>
  </r>
  <r>
    <n v="494"/>
    <s v="CA-2016-169166"/>
    <x v="195"/>
    <d v="2016-05-14T00:00:00"/>
    <s v="Standard Class"/>
    <s v="SS-20590"/>
    <s v="Sonia Sunley"/>
    <s v="Consumer"/>
    <s v="United States"/>
    <s v="Seattle"/>
    <s v="Washington"/>
    <n v="98115"/>
    <x v="1"/>
    <s v="TEC-AC-10000991"/>
    <x v="2"/>
    <s v="Accessories"/>
    <x v="437"/>
    <n v="93.98"/>
    <n v="2"/>
    <n v="0"/>
    <n v="13.1572"/>
    <s v="Low"/>
  </r>
  <r>
    <n v="495"/>
    <s v="US-2016-120929"/>
    <x v="196"/>
    <d v="2016-03-21T00:00:00"/>
    <s v="Second Class"/>
    <s v="RO-19780"/>
    <s v="Rose O'Brian"/>
    <s v="Consumer"/>
    <s v="United States"/>
    <s v="Memphis"/>
    <s v="Tennessee"/>
    <n v="38109"/>
    <x v="0"/>
    <s v="FUR-TA-10001857"/>
    <x v="0"/>
    <s v="Tables"/>
    <x v="438"/>
    <n v="189.88200000000001"/>
    <n v="3"/>
    <n v="0.4"/>
    <n v="-94.941000000000003"/>
    <s v="Low"/>
  </r>
  <r>
    <n v="496"/>
    <s v="CA-2015-134782"/>
    <x v="17"/>
    <d v="2015-12-31T00:00:00"/>
    <s v="Standard Class"/>
    <s v="MD-17350"/>
    <s v="Maribeth Dona"/>
    <s v="Consumer"/>
    <s v="United States"/>
    <s v="Fayetteville"/>
    <s v="Arkansas"/>
    <n v="72701"/>
    <x v="0"/>
    <s v="OFF-EN-10001434"/>
    <x v="1"/>
    <s v="Envelopes"/>
    <x v="439"/>
    <n v="105.42"/>
    <n v="2"/>
    <n v="0"/>
    <n v="51.655799999999999"/>
    <s v="Low"/>
  </r>
  <r>
    <n v="497"/>
    <s v="CA-2016-126158"/>
    <x v="197"/>
    <d v="2016-07-31T00:00:00"/>
    <s v="Standard Class"/>
    <s v="SC-20095"/>
    <s v="Sanjit Chand"/>
    <s v="Consumer"/>
    <s v="United States"/>
    <s v="Costa Mesa"/>
    <s v="California"/>
    <n v="92627"/>
    <x v="1"/>
    <s v="OFF-BI-10002498"/>
    <x v="1"/>
    <s v="Binders"/>
    <x v="440"/>
    <n v="119.616"/>
    <n v="8"/>
    <n v="0.2"/>
    <n v="40.370399999999997"/>
    <s v="Low"/>
  </r>
  <r>
    <n v="498"/>
    <s v="CA-2016-126158"/>
    <x v="197"/>
    <d v="2016-07-31T00:00:00"/>
    <s v="Standard Class"/>
    <s v="SC-20095"/>
    <s v="Sanjit Chand"/>
    <s v="Consumer"/>
    <s v="United States"/>
    <s v="Costa Mesa"/>
    <s v="California"/>
    <n v="92627"/>
    <x v="1"/>
    <s v="FUR-FU-10004864"/>
    <x v="0"/>
    <s v="Furnishings"/>
    <x v="441"/>
    <n v="255.76"/>
    <n v="4"/>
    <n v="0"/>
    <n v="81.843199999999996"/>
    <s v="Low"/>
  </r>
  <r>
    <n v="499"/>
    <s v="CA-2016-126158"/>
    <x v="197"/>
    <d v="2016-07-31T00:00:00"/>
    <s v="Standard Class"/>
    <s v="SC-20095"/>
    <s v="Sanjit Chand"/>
    <s v="Consumer"/>
    <s v="United States"/>
    <s v="Costa Mesa"/>
    <s v="California"/>
    <n v="92627"/>
    <x v="1"/>
    <s v="FUR-CH-10002602"/>
    <x v="0"/>
    <s v="Chairs"/>
    <x v="291"/>
    <n v="241.56800000000001"/>
    <n v="2"/>
    <n v="0.2"/>
    <n v="18.117599999999999"/>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70B22-BFA8-4A88-82B8-F7C07A362337}"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5:S1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defaultSubtotal="0"/>
    <pivotField showAll="0" defaultSubtotal="0"/>
  </pivotFields>
  <rowFields count="1">
    <field x="16"/>
  </rowFields>
  <rowItems count="11">
    <i>
      <x v="241"/>
    </i>
    <i>
      <x v="322"/>
    </i>
    <i>
      <x v="170"/>
    </i>
    <i>
      <x v="104"/>
    </i>
    <i>
      <x v="254"/>
    </i>
    <i>
      <x v="181"/>
    </i>
    <i>
      <x v="38"/>
    </i>
    <i>
      <x v="207"/>
    </i>
    <i>
      <x v="441"/>
    </i>
    <i>
      <x v="45"/>
    </i>
    <i t="grand">
      <x/>
    </i>
  </rowItems>
  <colItems count="1">
    <i/>
  </colItems>
  <dataFields count="1">
    <dataField name="Sum of Sales" fld="17" baseField="0" baseItem="0"/>
  </dataFields>
  <formats count="20">
    <format dxfId="25">
      <pivotArea type="all" dataOnly="0" outline="0" fieldPosition="0"/>
    </format>
    <format dxfId="24">
      <pivotArea outline="0" collapsedLevelsAreSubtotals="1" fieldPosition="0"/>
    </format>
    <format dxfId="23">
      <pivotArea field="16" type="button" dataOnly="0" labelOnly="1" outline="0" axis="axisRow" fieldPosition="0"/>
    </format>
    <format dxfId="22">
      <pivotArea dataOnly="0" labelOnly="1" fieldPosition="0">
        <references count="1">
          <reference field="16" count="10">
            <x v="38"/>
            <x v="45"/>
            <x v="104"/>
            <x v="170"/>
            <x v="181"/>
            <x v="207"/>
            <x v="241"/>
            <x v="254"/>
            <x v="322"/>
            <x v="441"/>
          </reference>
        </references>
      </pivotArea>
    </format>
    <format dxfId="21">
      <pivotArea dataOnly="0" labelOnly="1" grandRow="1" outline="0" fieldPosition="0"/>
    </format>
    <format dxfId="20">
      <pivotArea dataOnly="0" labelOnly="1" outline="0" axis="axisValues" fieldPosition="0"/>
    </format>
    <format dxfId="15">
      <pivotArea type="all" dataOnly="0" outline="0" fieldPosition="0"/>
    </format>
    <format dxfId="14">
      <pivotArea outline="0" collapsedLevelsAreSubtotals="1" fieldPosition="0"/>
    </format>
    <format dxfId="13">
      <pivotArea field="16" type="button" dataOnly="0" labelOnly="1" outline="0" axis="axisRow" fieldPosition="0"/>
    </format>
    <format dxfId="12">
      <pivotArea dataOnly="0" labelOnly="1" fieldPosition="0">
        <references count="1">
          <reference field="16" count="10">
            <x v="38"/>
            <x v="45"/>
            <x v="104"/>
            <x v="170"/>
            <x v="181"/>
            <x v="207"/>
            <x v="241"/>
            <x v="254"/>
            <x v="322"/>
            <x v="441"/>
          </reference>
        </references>
      </pivotArea>
    </format>
    <format dxfId="11">
      <pivotArea dataOnly="0" labelOnly="1" grandRow="1" outline="0" fieldPosition="0"/>
    </format>
    <format dxfId="10">
      <pivotArea dataOnly="0" labelOnly="1" outline="0" axis="axisValues" fieldPosition="0"/>
    </format>
    <format dxfId="8">
      <pivotArea type="all" dataOnly="0" outline="0" fieldPosition="0"/>
    </format>
    <format dxfId="7">
      <pivotArea outline="0" collapsedLevelsAreSubtotals="1" fieldPosition="0"/>
    </format>
    <format dxfId="6">
      <pivotArea field="16" type="button" dataOnly="0" labelOnly="1" outline="0" axis="axisRow" fieldPosition="0"/>
    </format>
    <format dxfId="5">
      <pivotArea dataOnly="0" labelOnly="1" fieldPosition="0">
        <references count="1">
          <reference field="16" count="10">
            <x v="38"/>
            <x v="45"/>
            <x v="104"/>
            <x v="170"/>
            <x v="181"/>
            <x v="207"/>
            <x v="241"/>
            <x v="254"/>
            <x v="322"/>
            <x v="441"/>
          </reference>
        </references>
      </pivotArea>
    </format>
    <format dxfId="4">
      <pivotArea dataOnly="0" labelOnly="1" grandRow="1" outline="0" fieldPosition="0"/>
    </format>
    <format dxfId="3">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DF43A-FBD4-4C69-8905-64E606DD80AD}"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H6:I11"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3"/>
    <field x="2"/>
  </rowFields>
  <rowItems count="5">
    <i>
      <x v="1"/>
    </i>
    <i>
      <x v="2"/>
    </i>
    <i>
      <x v="3"/>
    </i>
    <i>
      <x v="4"/>
    </i>
    <i t="grand">
      <x/>
    </i>
  </rowItems>
  <colItems count="1">
    <i/>
  </colItems>
  <dataFields count="1">
    <dataField name="Sum of Sales" fld="17" baseField="0" baseItem="0"/>
  </dataFields>
  <formats count="6">
    <format dxfId="32">
      <pivotArea type="all" dataOnly="0" outline="0" fieldPosition="0"/>
    </format>
    <format dxfId="31">
      <pivotArea outline="0" collapsedLevelsAreSubtotals="1" fieldPosition="0"/>
    </format>
    <format dxfId="30">
      <pivotArea field="23" type="button" dataOnly="0" labelOnly="1" outline="0" axis="axisRow" fieldPosition="0"/>
    </format>
    <format dxfId="29">
      <pivotArea dataOnly="0" labelOnly="1" fieldPosition="0">
        <references count="1">
          <reference field="23" count="4">
            <x v="1"/>
            <x v="2"/>
            <x v="3"/>
            <x v="4"/>
          </reference>
        </references>
      </pivotArea>
    </format>
    <format dxfId="28">
      <pivotArea dataOnly="0" labelOnly="1" grandRow="1" outline="0" fieldPosition="0"/>
    </format>
    <format dxfId="27">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658CF-F940-4461-B7C6-E827E1027863}"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E6:F8"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x="3"/>
        <item h="1" x="0"/>
        <item h="1" x="1"/>
        <item t="default"/>
      </items>
    </pivotField>
    <pivotField showAll="0"/>
    <pivotField showAll="0">
      <items count="4">
        <item h="1" x="0"/>
        <item h="1" x="1"/>
        <item x="2"/>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Profit" fld="20" baseField="0" baseItem="0"/>
  </dataFields>
  <formats count="6">
    <format dxfId="38">
      <pivotArea type="all" dataOnly="0" outline="0" fieldPosition="0"/>
    </format>
    <format dxfId="37">
      <pivotArea outline="0" collapsedLevelsAreSubtotals="1" fieldPosition="0"/>
    </format>
    <format dxfId="36">
      <pivotArea field="12" type="button" dataOnly="0" labelOnly="1" outline="0" axis="axisRow" fieldPosition="0"/>
    </format>
    <format dxfId="35">
      <pivotArea dataOnly="0" labelOnly="1" fieldPosition="0">
        <references count="1">
          <reference field="12" count="0"/>
        </references>
      </pivotArea>
    </format>
    <format dxfId="34">
      <pivotArea dataOnly="0" labelOnly="1" grandRow="1" outline="0" fieldPosition="0"/>
    </format>
    <format dxfId="33">
      <pivotArea dataOnly="0" labelOnly="1" outline="0" axis="axisValues" fieldPosition="0"/>
    </format>
  </formats>
  <chartFormats count="5">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2" count="1" selected="0">
            <x v="0"/>
          </reference>
        </references>
      </pivotArea>
    </chartFormat>
    <chartFormat chart="15" format="18">
      <pivotArea type="data" outline="0" fieldPosition="0">
        <references count="2">
          <reference field="4294967294" count="1" selected="0">
            <x v="0"/>
          </reference>
          <reference field="12" count="1" selected="0">
            <x v="1"/>
          </reference>
        </references>
      </pivotArea>
    </chartFormat>
    <chartFormat chart="15" format="19">
      <pivotArea type="data" outline="0" fieldPosition="0">
        <references count="2">
          <reference field="4294967294" count="1" selected="0">
            <x v="0"/>
          </reference>
          <reference field="12" count="1" selected="0">
            <x v="2"/>
          </reference>
        </references>
      </pivotArea>
    </chartFormat>
    <chartFormat chart="15"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DDC4D-52ED-4586-AF41-3677C2CA0B96}"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B6:C8"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Row" showAll="0">
      <items count="4">
        <item h="1" x="0"/>
        <item h="1" x="1"/>
        <item x="2"/>
        <item t="default"/>
      </items>
    </pivotField>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Sales" fld="17" baseField="0" baseItem="0"/>
  </dataFields>
  <formats count="6">
    <format dxfId="44">
      <pivotArea type="all" dataOnly="0" outline="0" fieldPosition="0"/>
    </format>
    <format dxfId="43">
      <pivotArea outline="0" collapsedLevelsAreSubtotals="1" fieldPosition="0"/>
    </format>
    <format dxfId="42">
      <pivotArea field="14" type="button" dataOnly="0" labelOnly="1" outline="0" axis="axisRow" fieldPosition="0"/>
    </format>
    <format dxfId="41">
      <pivotArea dataOnly="0" labelOnly="1" fieldPosition="0">
        <references count="1">
          <reference field="14" count="0"/>
        </references>
      </pivotArea>
    </format>
    <format dxfId="40">
      <pivotArea dataOnly="0" labelOnly="1" grandRow="1" outline="0" fieldPosition="0"/>
    </format>
    <format dxfId="39">
      <pivotArea dataOnly="0" labelOnly="1" outline="0" axis="axisValues" fieldPosition="0"/>
    </format>
  </formats>
  <chartFormats count="1">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317363-BCFC-4D22-B6EA-E68A87CBA60C}" sourceName="Category">
  <pivotTables>
    <pivotTable tabId="3" name="PivotTable2"/>
    <pivotTable tabId="3" name="PivotTable3"/>
    <pivotTable tabId="3" name="PivotTable4"/>
  </pivotTables>
  <data>
    <tabular pivotCacheId="1949401194">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FEFE8D-3A80-4241-AD3D-33611CB13599}" sourceName="Region">
  <pivotTables>
    <pivotTable tabId="3" name="PivotTable2"/>
    <pivotTable tabId="3" name="PivotTable3"/>
    <pivotTable tabId="3" name="PivotTable4"/>
  </pivotTables>
  <data>
    <tabular pivotCacheId="1949401194">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2177A8-FE73-4FA2-92E5-0FF57E8B3AEC}" cache="Slicer_Category" caption="Category" rowHeight="241300"/>
  <slicer name="Region" xr10:uid="{818204CA-3B62-4158-93D2-ACDAD3C054A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378309-F792-4D6C-9842-A0E22DFA1F84}" name="data" displayName="data" ref="A1:AA500" totalsRowShown="0">
  <autoFilter ref="A1:AA500" xr:uid="{7C567D37-4D85-4C81-8F55-8AA16B963086}"/>
  <tableColumns count="27">
    <tableColumn id="1" xr3:uid="{AF953B93-169E-48CE-A1EA-EEE60E393C81}" name="Row ID"/>
    <tableColumn id="2" xr3:uid="{ECC10850-34B4-4AF4-A998-95BFA7399DFE}" name="Order ID"/>
    <tableColumn id="3" xr3:uid="{8EED90F9-4A91-45C6-AF5C-683CD56D0A1F}" name="Order Date" dataDxfId="47"/>
    <tableColumn id="4" xr3:uid="{27458A20-6F6D-48EF-8E22-35723E985D16}" name="Ship Date" dataDxfId="46"/>
    <tableColumn id="5" xr3:uid="{51524814-8C75-4DE7-A95D-50747CA63ABD}" name="Ship Mode"/>
    <tableColumn id="6" xr3:uid="{319AD9C4-075C-4EC0-9235-67DC6C4FE05C}" name="Customer ID"/>
    <tableColumn id="7" xr3:uid="{75354B8C-9DFE-4922-B301-93783C349269}" name="Customer Name"/>
    <tableColumn id="8" xr3:uid="{783A08FB-E3C2-497F-8D6D-025536C4FDD7}" name="Segment"/>
    <tableColumn id="9" xr3:uid="{7FD3FD14-4144-4F1C-B48B-28A2342AD571}" name="Country"/>
    <tableColumn id="10" xr3:uid="{BA2EC53E-A9D1-426C-9108-A2554884D468}" name="City"/>
    <tableColumn id="11" xr3:uid="{AD55510B-A576-42DD-A4F5-7B377D9A01D1}" name="State"/>
    <tableColumn id="12" xr3:uid="{BC4EF4D1-AFAA-4F30-A755-32F12B79333F}" name="Postal Code"/>
    <tableColumn id="13" xr3:uid="{6837B310-586F-496C-AD37-D64C0ED52A6D}" name="Region"/>
    <tableColumn id="14" xr3:uid="{15519567-EB51-4751-BCE1-B5DBD83D983B}" name="Product ID"/>
    <tableColumn id="15" xr3:uid="{E16F6A64-A9F5-4231-BF20-7269896CD4D4}" name="Category"/>
    <tableColumn id="16" xr3:uid="{D615A1E5-6342-4ED2-A300-B7E6D7F27BB9}" name="Sub-Category"/>
    <tableColumn id="17" xr3:uid="{AA53135D-63FF-4BD6-998E-3231A98B1388}" name="Product Name"/>
    <tableColumn id="18" xr3:uid="{8DAF156F-6553-4AE1-B44C-6EC9DA9D177E}" name="Sales"/>
    <tableColumn id="19" xr3:uid="{6756884B-3153-44EF-9D84-54FFC9281BF2}" name="Quantity"/>
    <tableColumn id="20" xr3:uid="{38835280-80D0-4702-BFC5-3AEB84293A00}" name="Discount"/>
    <tableColumn id="21" xr3:uid="{57566846-CB99-4C23-B090-2BA5EF8044EF}" name="Profit"/>
    <tableColumn id="22" xr3:uid="{53C2D460-D1D5-4B1F-B0FB-1F9820DA8110}" name="Sales Level" dataDxfId="45">
      <calculatedColumnFormula>IF(data[[#This Row],[Sales]]&gt;500,"High","Low")</calculatedColumnFormula>
    </tableColumn>
    <tableColumn id="23" xr3:uid="{35E71A38-63C3-4420-9F27-11524A87ACBB}" name="TimeStamp" dataDxfId="26">
      <calculatedColumnFormula>NOW()</calculatedColumnFormula>
    </tableColumn>
    <tableColumn id="24" xr3:uid="{D7D70119-0440-4CAF-9A98-E035C3D930BE}" name="Days to Ship" dataDxfId="19">
      <calculatedColumnFormula>DATEDIF(data[[#This Row],[Order Date]], data[[#This Row],[Ship Date]], "d")</calculatedColumnFormula>
    </tableColumn>
    <tableColumn id="25" xr3:uid="{691FFD82-AE92-4939-9523-B8A46F673E12}" name="Current Year" dataDxfId="18">
      <calculatedColumnFormula>YEAR(TODAY())</calculatedColumnFormula>
    </tableColumn>
    <tableColumn id="26" xr3:uid="{AC7D4676-0D87-4BD1-BE4E-95229F22A905}" name="End of month" dataDxfId="16">
      <calculatedColumnFormula>EOMONTH(data[[#This Row],[Order Date]],0)</calculatedColumnFormula>
    </tableColumn>
    <tableColumn id="27" xr3:uid="{D3E22EA9-1072-4A9E-878A-A198324CEE9F}" name="Customer short name" dataDxfId="17">
      <calculatedColumnFormula>LEFT(data[[#This Row],[Customer Name]],3)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8B5AC-FDE4-4273-9E5F-C0658444EB8D}">
  <dimension ref="A1:X30"/>
  <sheetViews>
    <sheetView zoomScale="81" workbookViewId="0">
      <selection activeCell="U33" sqref="U33"/>
    </sheetView>
  </sheetViews>
  <sheetFormatPr defaultRowHeight="14.5" x14ac:dyDescent="0.35"/>
  <sheetData>
    <row r="1" spans="1:24" ht="14.5" customHeight="1" x14ac:dyDescent="0.35">
      <c r="A1" s="83"/>
      <c r="B1" s="47" t="s">
        <v>1741</v>
      </c>
      <c r="C1" s="48"/>
      <c r="D1" s="48"/>
      <c r="E1" s="48"/>
      <c r="F1" s="48"/>
      <c r="G1" s="48"/>
      <c r="H1" s="48"/>
      <c r="I1" s="48"/>
      <c r="J1" s="48"/>
      <c r="K1" s="48"/>
      <c r="L1" s="48"/>
      <c r="M1" s="48"/>
      <c r="N1" s="48"/>
      <c r="O1" s="48"/>
      <c r="P1" s="48"/>
      <c r="Q1" s="48"/>
      <c r="R1" s="48"/>
      <c r="S1" s="49"/>
      <c r="T1" s="9"/>
      <c r="U1" s="9"/>
      <c r="V1" s="9"/>
      <c r="W1" s="9"/>
      <c r="X1" s="9"/>
    </row>
    <row r="2" spans="1:24" ht="14.5" customHeight="1" x14ac:dyDescent="0.35">
      <c r="A2" s="83"/>
      <c r="B2" s="50"/>
      <c r="C2" s="51"/>
      <c r="D2" s="51"/>
      <c r="E2" s="51"/>
      <c r="F2" s="51"/>
      <c r="G2" s="51"/>
      <c r="H2" s="51"/>
      <c r="I2" s="51"/>
      <c r="J2" s="51"/>
      <c r="K2" s="51"/>
      <c r="L2" s="51"/>
      <c r="M2" s="51"/>
      <c r="N2" s="51"/>
      <c r="O2" s="51"/>
      <c r="P2" s="51"/>
      <c r="Q2" s="51"/>
      <c r="R2" s="51"/>
      <c r="S2" s="52"/>
      <c r="T2" s="9"/>
      <c r="U2" s="9"/>
      <c r="V2" s="9"/>
      <c r="W2" s="9"/>
      <c r="X2" s="9"/>
    </row>
    <row r="3" spans="1:24" ht="14.5" customHeight="1" x14ac:dyDescent="0.35">
      <c r="A3" s="83"/>
      <c r="B3" s="50"/>
      <c r="C3" s="51"/>
      <c r="D3" s="51"/>
      <c r="E3" s="51"/>
      <c r="F3" s="51"/>
      <c r="G3" s="51"/>
      <c r="H3" s="51"/>
      <c r="I3" s="51"/>
      <c r="J3" s="51"/>
      <c r="K3" s="51"/>
      <c r="L3" s="51"/>
      <c r="M3" s="51"/>
      <c r="N3" s="51"/>
      <c r="O3" s="51"/>
      <c r="P3" s="51"/>
      <c r="Q3" s="51"/>
      <c r="R3" s="51"/>
      <c r="S3" s="52"/>
      <c r="T3" s="9"/>
      <c r="U3" s="9"/>
      <c r="V3" s="9"/>
      <c r="W3" s="9"/>
      <c r="X3" s="9"/>
    </row>
    <row r="4" spans="1:24" ht="15" customHeight="1" thickBot="1" x14ac:dyDescent="0.4">
      <c r="A4" s="83"/>
      <c r="B4" s="53"/>
      <c r="C4" s="54"/>
      <c r="D4" s="54"/>
      <c r="E4" s="54"/>
      <c r="F4" s="54"/>
      <c r="G4" s="54"/>
      <c r="H4" s="54"/>
      <c r="I4" s="54"/>
      <c r="J4" s="54"/>
      <c r="K4" s="54"/>
      <c r="L4" s="54"/>
      <c r="M4" s="54"/>
      <c r="N4" s="54"/>
      <c r="O4" s="54"/>
      <c r="P4" s="54"/>
      <c r="Q4" s="54"/>
      <c r="R4" s="54"/>
      <c r="S4" s="55"/>
      <c r="T4" s="9"/>
      <c r="U4" s="9"/>
      <c r="V4" s="9"/>
      <c r="W4" s="9"/>
      <c r="X4" s="9"/>
    </row>
    <row r="5" spans="1:24" x14ac:dyDescent="0.35">
      <c r="A5" s="9"/>
      <c r="B5" s="9"/>
      <c r="C5" s="9"/>
      <c r="D5" s="9"/>
      <c r="E5" s="9"/>
      <c r="F5" s="9"/>
      <c r="G5" s="9"/>
      <c r="H5" s="9"/>
      <c r="I5" s="9"/>
      <c r="J5" s="9"/>
      <c r="K5" s="9"/>
      <c r="L5" s="9"/>
      <c r="M5" s="9"/>
      <c r="N5" s="9"/>
      <c r="O5" s="9"/>
      <c r="P5" s="9"/>
      <c r="Q5" s="9"/>
      <c r="R5" s="9"/>
      <c r="S5" s="9"/>
      <c r="T5" s="9"/>
      <c r="U5" s="9"/>
      <c r="V5" s="9"/>
      <c r="W5" s="9"/>
      <c r="X5" s="9"/>
    </row>
    <row r="6" spans="1:24" ht="15" thickBot="1" x14ac:dyDescent="0.4">
      <c r="A6" s="9"/>
      <c r="B6" s="9"/>
      <c r="C6" s="9"/>
      <c r="D6" s="9"/>
      <c r="E6" s="9"/>
      <c r="F6" s="9"/>
      <c r="G6" s="9"/>
      <c r="H6" s="9"/>
      <c r="I6" s="9"/>
      <c r="J6" s="9"/>
      <c r="K6" s="9"/>
      <c r="L6" s="9"/>
      <c r="M6" s="9"/>
      <c r="N6" s="9"/>
      <c r="O6" s="9"/>
      <c r="P6" s="9"/>
      <c r="Q6" s="9"/>
      <c r="R6" s="9"/>
      <c r="S6" s="9"/>
      <c r="T6" s="9"/>
      <c r="U6" s="9"/>
      <c r="V6" s="9"/>
      <c r="W6" s="9"/>
      <c r="X6" s="9"/>
    </row>
    <row r="7" spans="1:24" ht="14.5" customHeight="1" x14ac:dyDescent="0.35">
      <c r="A7" s="84"/>
      <c r="B7" s="56" t="s">
        <v>1742</v>
      </c>
      <c r="C7" s="57"/>
      <c r="D7" s="57"/>
      <c r="E7" s="57"/>
      <c r="F7" s="57"/>
      <c r="G7" s="57"/>
      <c r="H7" s="57"/>
      <c r="I7" s="57"/>
      <c r="J7" s="57"/>
      <c r="K7" s="57"/>
      <c r="L7" s="57"/>
      <c r="M7" s="57"/>
      <c r="N7" s="57"/>
      <c r="O7" s="57"/>
      <c r="P7" s="57"/>
      <c r="Q7" s="57"/>
      <c r="R7" s="57"/>
      <c r="S7" s="58"/>
      <c r="T7" s="9"/>
      <c r="U7" s="9"/>
      <c r="V7" s="9"/>
      <c r="W7" s="9"/>
      <c r="X7" s="9"/>
    </row>
    <row r="8" spans="1:24" ht="14.5" customHeight="1" x14ac:dyDescent="0.35">
      <c r="A8" s="84"/>
      <c r="B8" s="59"/>
      <c r="C8" s="60"/>
      <c r="D8" s="60"/>
      <c r="E8" s="60"/>
      <c r="F8" s="60"/>
      <c r="G8" s="60"/>
      <c r="H8" s="60"/>
      <c r="I8" s="60"/>
      <c r="J8" s="60"/>
      <c r="K8" s="60"/>
      <c r="L8" s="60"/>
      <c r="M8" s="60"/>
      <c r="N8" s="60"/>
      <c r="O8" s="60"/>
      <c r="P8" s="60"/>
      <c r="Q8" s="60"/>
      <c r="R8" s="60"/>
      <c r="S8" s="61"/>
      <c r="T8" s="9"/>
      <c r="U8" s="9"/>
      <c r="V8" s="9"/>
      <c r="W8" s="9"/>
      <c r="X8" s="9"/>
    </row>
    <row r="9" spans="1:24" ht="14.5" customHeight="1" x14ac:dyDescent="0.35">
      <c r="A9" s="84"/>
      <c r="B9" s="59"/>
      <c r="C9" s="60"/>
      <c r="D9" s="60"/>
      <c r="E9" s="60"/>
      <c r="F9" s="60"/>
      <c r="G9" s="60"/>
      <c r="H9" s="60"/>
      <c r="I9" s="60"/>
      <c r="J9" s="60"/>
      <c r="K9" s="60"/>
      <c r="L9" s="60"/>
      <c r="M9" s="60"/>
      <c r="N9" s="60"/>
      <c r="O9" s="60"/>
      <c r="P9" s="60"/>
      <c r="Q9" s="60"/>
      <c r="R9" s="60"/>
      <c r="S9" s="61"/>
      <c r="T9" s="9"/>
      <c r="U9" s="9"/>
      <c r="V9" s="9"/>
      <c r="W9" s="9"/>
      <c r="X9" s="9"/>
    </row>
    <row r="10" spans="1:24" ht="14.5" customHeight="1" x14ac:dyDescent="0.35">
      <c r="A10" s="84"/>
      <c r="B10" s="59"/>
      <c r="C10" s="60"/>
      <c r="D10" s="60"/>
      <c r="E10" s="60"/>
      <c r="F10" s="60"/>
      <c r="G10" s="60"/>
      <c r="H10" s="60"/>
      <c r="I10" s="60"/>
      <c r="J10" s="60"/>
      <c r="K10" s="60"/>
      <c r="L10" s="60"/>
      <c r="M10" s="60"/>
      <c r="N10" s="60"/>
      <c r="O10" s="60"/>
      <c r="P10" s="60"/>
      <c r="Q10" s="60"/>
      <c r="R10" s="60"/>
      <c r="S10" s="61"/>
      <c r="T10" s="9"/>
      <c r="U10" s="9"/>
      <c r="V10" s="9"/>
      <c r="W10" s="9"/>
      <c r="X10" s="9"/>
    </row>
    <row r="11" spans="1:24" ht="14.5" customHeight="1" x14ac:dyDescent="0.35">
      <c r="A11" s="84"/>
      <c r="B11" s="59"/>
      <c r="C11" s="60"/>
      <c r="D11" s="60"/>
      <c r="E11" s="60"/>
      <c r="F11" s="60"/>
      <c r="G11" s="60"/>
      <c r="H11" s="60"/>
      <c r="I11" s="60"/>
      <c r="J11" s="60"/>
      <c r="K11" s="60"/>
      <c r="L11" s="60"/>
      <c r="M11" s="60"/>
      <c r="N11" s="60"/>
      <c r="O11" s="60"/>
      <c r="P11" s="60"/>
      <c r="Q11" s="60"/>
      <c r="R11" s="60"/>
      <c r="S11" s="61"/>
      <c r="T11" s="9"/>
      <c r="U11" s="9"/>
      <c r="V11" s="9"/>
      <c r="W11" s="9"/>
      <c r="X11" s="9"/>
    </row>
    <row r="12" spans="1:24" ht="14.5" customHeight="1" x14ac:dyDescent="0.35">
      <c r="A12" s="84"/>
      <c r="B12" s="59"/>
      <c r="C12" s="60"/>
      <c r="D12" s="60"/>
      <c r="E12" s="60"/>
      <c r="F12" s="60"/>
      <c r="G12" s="60"/>
      <c r="H12" s="60"/>
      <c r="I12" s="60"/>
      <c r="J12" s="60"/>
      <c r="K12" s="60"/>
      <c r="L12" s="60"/>
      <c r="M12" s="60"/>
      <c r="N12" s="60"/>
      <c r="O12" s="60"/>
      <c r="P12" s="60"/>
      <c r="Q12" s="60"/>
      <c r="R12" s="60"/>
      <c r="S12" s="61"/>
      <c r="T12" s="9"/>
      <c r="U12" s="9"/>
      <c r="V12" s="9"/>
      <c r="W12" s="9"/>
      <c r="X12" s="9"/>
    </row>
    <row r="13" spans="1:24" ht="14.5" customHeight="1" x14ac:dyDescent="0.35">
      <c r="A13" s="84"/>
      <c r="B13" s="59"/>
      <c r="C13" s="60"/>
      <c r="D13" s="60"/>
      <c r="E13" s="60"/>
      <c r="F13" s="60"/>
      <c r="G13" s="60"/>
      <c r="H13" s="60"/>
      <c r="I13" s="60"/>
      <c r="J13" s="60"/>
      <c r="K13" s="60"/>
      <c r="L13" s="60"/>
      <c r="M13" s="60"/>
      <c r="N13" s="60"/>
      <c r="O13" s="60"/>
      <c r="P13" s="60"/>
      <c r="Q13" s="60"/>
      <c r="R13" s="60"/>
      <c r="S13" s="61"/>
      <c r="T13" s="9"/>
      <c r="U13" s="9"/>
      <c r="V13" s="9"/>
      <c r="W13" s="9"/>
      <c r="X13" s="9"/>
    </row>
    <row r="14" spans="1:24" ht="14.5" customHeight="1" x14ac:dyDescent="0.35">
      <c r="A14" s="84"/>
      <c r="B14" s="59"/>
      <c r="C14" s="60"/>
      <c r="D14" s="60"/>
      <c r="E14" s="60"/>
      <c r="F14" s="60"/>
      <c r="G14" s="60"/>
      <c r="H14" s="60"/>
      <c r="I14" s="60"/>
      <c r="J14" s="60"/>
      <c r="K14" s="60"/>
      <c r="L14" s="60"/>
      <c r="M14" s="60"/>
      <c r="N14" s="60"/>
      <c r="O14" s="60"/>
      <c r="P14" s="60"/>
      <c r="Q14" s="60"/>
      <c r="R14" s="60"/>
      <c r="S14" s="61"/>
      <c r="T14" s="9"/>
      <c r="U14" s="9"/>
      <c r="V14" s="9"/>
      <c r="W14" s="9"/>
      <c r="X14" s="9"/>
    </row>
    <row r="15" spans="1:24" ht="14.5" customHeight="1" x14ac:dyDescent="0.35">
      <c r="A15" s="84"/>
      <c r="B15" s="59"/>
      <c r="C15" s="60"/>
      <c r="D15" s="60"/>
      <c r="E15" s="60"/>
      <c r="F15" s="60"/>
      <c r="G15" s="60"/>
      <c r="H15" s="60"/>
      <c r="I15" s="60"/>
      <c r="J15" s="60"/>
      <c r="K15" s="60"/>
      <c r="L15" s="60"/>
      <c r="M15" s="60"/>
      <c r="N15" s="60"/>
      <c r="O15" s="60"/>
      <c r="P15" s="60"/>
      <c r="Q15" s="60"/>
      <c r="R15" s="60"/>
      <c r="S15" s="61"/>
      <c r="T15" s="9"/>
      <c r="U15" s="9"/>
      <c r="V15" s="9"/>
      <c r="W15" s="9"/>
      <c r="X15" s="9"/>
    </row>
    <row r="16" spans="1:24" ht="14.5" customHeight="1" x14ac:dyDescent="0.35">
      <c r="A16" s="84"/>
      <c r="B16" s="59"/>
      <c r="C16" s="60"/>
      <c r="D16" s="60"/>
      <c r="E16" s="60"/>
      <c r="F16" s="60"/>
      <c r="G16" s="60"/>
      <c r="H16" s="60"/>
      <c r="I16" s="60"/>
      <c r="J16" s="60"/>
      <c r="K16" s="60"/>
      <c r="L16" s="60"/>
      <c r="M16" s="60"/>
      <c r="N16" s="60"/>
      <c r="O16" s="60"/>
      <c r="P16" s="60"/>
      <c r="Q16" s="60"/>
      <c r="R16" s="60"/>
      <c r="S16" s="61"/>
      <c r="T16" s="9"/>
      <c r="U16" s="9"/>
      <c r="V16" s="9"/>
      <c r="W16" s="9"/>
      <c r="X16" s="9"/>
    </row>
    <row r="17" spans="1:24" ht="14.5" customHeight="1" x14ac:dyDescent="0.35">
      <c r="A17" s="84"/>
      <c r="B17" s="59"/>
      <c r="C17" s="60"/>
      <c r="D17" s="60"/>
      <c r="E17" s="60"/>
      <c r="F17" s="60"/>
      <c r="G17" s="60"/>
      <c r="H17" s="60"/>
      <c r="I17" s="60"/>
      <c r="J17" s="60"/>
      <c r="K17" s="60"/>
      <c r="L17" s="60"/>
      <c r="M17" s="60"/>
      <c r="N17" s="60"/>
      <c r="O17" s="60"/>
      <c r="P17" s="60"/>
      <c r="Q17" s="60"/>
      <c r="R17" s="60"/>
      <c r="S17" s="61"/>
      <c r="T17" s="9"/>
      <c r="U17" s="9"/>
      <c r="V17" s="9"/>
      <c r="W17" s="9"/>
      <c r="X17" s="9"/>
    </row>
    <row r="18" spans="1:24" ht="14.5" customHeight="1" x14ac:dyDescent="0.35">
      <c r="A18" s="84"/>
      <c r="B18" s="59"/>
      <c r="C18" s="60"/>
      <c r="D18" s="60"/>
      <c r="E18" s="60"/>
      <c r="F18" s="60"/>
      <c r="G18" s="60"/>
      <c r="H18" s="60"/>
      <c r="I18" s="60"/>
      <c r="J18" s="60"/>
      <c r="K18" s="60"/>
      <c r="L18" s="60"/>
      <c r="M18" s="60"/>
      <c r="N18" s="60"/>
      <c r="O18" s="60"/>
      <c r="P18" s="60"/>
      <c r="Q18" s="60"/>
      <c r="R18" s="60"/>
      <c r="S18" s="61"/>
      <c r="T18" s="9"/>
      <c r="U18" s="9"/>
      <c r="V18" s="9"/>
      <c r="W18" s="9"/>
      <c r="X18" s="9"/>
    </row>
    <row r="19" spans="1:24" ht="14.5" customHeight="1" x14ac:dyDescent="0.35">
      <c r="A19" s="84"/>
      <c r="B19" s="59"/>
      <c r="C19" s="60"/>
      <c r="D19" s="60"/>
      <c r="E19" s="60"/>
      <c r="F19" s="60"/>
      <c r="G19" s="60"/>
      <c r="H19" s="60"/>
      <c r="I19" s="60"/>
      <c r="J19" s="60"/>
      <c r="K19" s="60"/>
      <c r="L19" s="60"/>
      <c r="M19" s="60"/>
      <c r="N19" s="60"/>
      <c r="O19" s="60"/>
      <c r="P19" s="60"/>
      <c r="Q19" s="60"/>
      <c r="R19" s="60"/>
      <c r="S19" s="61"/>
      <c r="T19" s="9"/>
      <c r="U19" s="9"/>
      <c r="V19" s="9"/>
      <c r="W19" s="9"/>
      <c r="X19" s="9"/>
    </row>
    <row r="20" spans="1:24" ht="15" customHeight="1" thickBot="1" x14ac:dyDescent="0.4">
      <c r="A20" s="84"/>
      <c r="B20" s="62"/>
      <c r="C20" s="63"/>
      <c r="D20" s="63"/>
      <c r="E20" s="63"/>
      <c r="F20" s="63"/>
      <c r="G20" s="63"/>
      <c r="H20" s="63"/>
      <c r="I20" s="63"/>
      <c r="J20" s="63"/>
      <c r="K20" s="63"/>
      <c r="L20" s="63"/>
      <c r="M20" s="63"/>
      <c r="N20" s="63"/>
      <c r="O20" s="63"/>
      <c r="P20" s="63"/>
      <c r="Q20" s="63"/>
      <c r="R20" s="63"/>
      <c r="S20" s="64"/>
      <c r="T20" s="9"/>
      <c r="U20" s="9"/>
      <c r="V20" s="9"/>
      <c r="W20" s="9"/>
      <c r="X20" s="9"/>
    </row>
    <row r="21" spans="1:24" ht="15" thickBot="1" x14ac:dyDescent="0.4">
      <c r="A21" s="9"/>
      <c r="B21" s="9"/>
      <c r="C21" s="9"/>
      <c r="D21" s="9"/>
      <c r="E21" s="9"/>
      <c r="F21" s="9"/>
      <c r="G21" s="9"/>
      <c r="H21" s="9"/>
      <c r="I21" s="9"/>
      <c r="J21" s="9"/>
      <c r="K21" s="9"/>
      <c r="L21" s="9"/>
      <c r="M21" s="9"/>
      <c r="N21" s="9"/>
      <c r="O21" s="9"/>
      <c r="P21" s="9"/>
      <c r="Q21" s="9"/>
      <c r="R21" s="9"/>
      <c r="S21" s="9"/>
      <c r="T21" s="9"/>
      <c r="U21" s="9"/>
      <c r="V21" s="9"/>
      <c r="W21" s="9"/>
      <c r="X21" s="9"/>
    </row>
    <row r="22" spans="1:24" ht="14.5" customHeight="1" x14ac:dyDescent="0.35">
      <c r="A22" s="85"/>
      <c r="B22" s="65" t="s">
        <v>1743</v>
      </c>
      <c r="C22" s="66"/>
      <c r="D22" s="66"/>
      <c r="E22" s="66"/>
      <c r="F22" s="66"/>
      <c r="G22" s="66"/>
      <c r="H22" s="66"/>
      <c r="I22" s="66"/>
      <c r="J22" s="66"/>
      <c r="K22" s="66"/>
      <c r="L22" s="66"/>
      <c r="M22" s="66"/>
      <c r="N22" s="66"/>
      <c r="O22" s="66"/>
      <c r="P22" s="66"/>
      <c r="Q22" s="66"/>
      <c r="R22" s="66"/>
      <c r="S22" s="67"/>
      <c r="T22" s="9"/>
      <c r="U22" s="9"/>
      <c r="V22" s="9"/>
      <c r="W22" s="9"/>
      <c r="X22" s="9"/>
    </row>
    <row r="23" spans="1:24" ht="14.5" customHeight="1" x14ac:dyDescent="0.35">
      <c r="A23" s="86"/>
      <c r="B23" s="68"/>
      <c r="C23" s="69"/>
      <c r="D23" s="69"/>
      <c r="E23" s="69"/>
      <c r="F23" s="69"/>
      <c r="G23" s="69"/>
      <c r="H23" s="69"/>
      <c r="I23" s="69"/>
      <c r="J23" s="69"/>
      <c r="K23" s="69"/>
      <c r="L23" s="69"/>
      <c r="M23" s="69"/>
      <c r="N23" s="69"/>
      <c r="O23" s="69"/>
      <c r="P23" s="69"/>
      <c r="Q23" s="69"/>
      <c r="R23" s="69"/>
      <c r="S23" s="70"/>
      <c r="T23" s="9"/>
      <c r="U23" s="9"/>
      <c r="V23" s="9"/>
      <c r="W23" s="9"/>
      <c r="X23" s="9"/>
    </row>
    <row r="24" spans="1:24" ht="15" customHeight="1" thickBot="1" x14ac:dyDescent="0.4">
      <c r="A24" s="86"/>
      <c r="B24" s="71"/>
      <c r="C24" s="72"/>
      <c r="D24" s="72"/>
      <c r="E24" s="72"/>
      <c r="F24" s="72"/>
      <c r="G24" s="72"/>
      <c r="H24" s="72"/>
      <c r="I24" s="72"/>
      <c r="J24" s="72"/>
      <c r="K24" s="72"/>
      <c r="L24" s="72"/>
      <c r="M24" s="72"/>
      <c r="N24" s="72"/>
      <c r="O24" s="72"/>
      <c r="P24" s="72"/>
      <c r="Q24" s="72"/>
      <c r="R24" s="72"/>
      <c r="S24" s="73"/>
      <c r="T24" s="9"/>
      <c r="U24" s="9"/>
      <c r="V24" s="9"/>
      <c r="W24" s="9"/>
      <c r="X24" s="9"/>
    </row>
    <row r="25" spans="1:24" ht="15" thickBot="1" x14ac:dyDescent="0.4">
      <c r="A25" s="9"/>
      <c r="B25" s="9"/>
      <c r="C25" s="9"/>
      <c r="D25" s="9"/>
      <c r="E25" s="9"/>
      <c r="F25" s="9"/>
      <c r="G25" s="9"/>
      <c r="H25" s="9"/>
      <c r="I25" s="9"/>
      <c r="J25" s="9"/>
      <c r="K25" s="9"/>
      <c r="L25" s="9"/>
      <c r="M25" s="9"/>
      <c r="N25" s="9"/>
      <c r="O25" s="9"/>
      <c r="P25" s="9"/>
      <c r="Q25" s="9"/>
      <c r="R25" s="9"/>
      <c r="S25" s="9"/>
      <c r="T25" s="9"/>
      <c r="U25" s="9"/>
      <c r="V25" s="9"/>
      <c r="W25" s="9"/>
      <c r="X25" s="9"/>
    </row>
    <row r="26" spans="1:24" ht="14.5" customHeight="1" x14ac:dyDescent="0.35">
      <c r="A26" s="85"/>
      <c r="B26" s="74" t="s">
        <v>1744</v>
      </c>
      <c r="C26" s="75"/>
      <c r="D26" s="75"/>
      <c r="E26" s="75"/>
      <c r="F26" s="75"/>
      <c r="G26" s="75"/>
      <c r="H26" s="75"/>
      <c r="I26" s="75"/>
      <c r="J26" s="75"/>
      <c r="K26" s="75"/>
      <c r="L26" s="75"/>
      <c r="M26" s="75"/>
      <c r="N26" s="75"/>
      <c r="O26" s="75"/>
      <c r="P26" s="75"/>
      <c r="Q26" s="75"/>
      <c r="R26" s="75"/>
      <c r="S26" s="76"/>
      <c r="T26" s="9"/>
      <c r="U26" s="9"/>
      <c r="V26" s="9"/>
      <c r="W26" s="9"/>
      <c r="X26" s="9"/>
    </row>
    <row r="27" spans="1:24" ht="15" customHeight="1" x14ac:dyDescent="0.35">
      <c r="A27" s="85"/>
      <c r="B27" s="77"/>
      <c r="C27" s="78"/>
      <c r="D27" s="78"/>
      <c r="E27" s="78"/>
      <c r="F27" s="78"/>
      <c r="G27" s="78"/>
      <c r="H27" s="78"/>
      <c r="I27" s="78"/>
      <c r="J27" s="78"/>
      <c r="K27" s="78"/>
      <c r="L27" s="78"/>
      <c r="M27" s="78"/>
      <c r="N27" s="78"/>
      <c r="O27" s="78"/>
      <c r="P27" s="78"/>
      <c r="Q27" s="78"/>
      <c r="R27" s="78"/>
      <c r="S27" s="79"/>
      <c r="T27" s="9"/>
      <c r="U27" s="9"/>
      <c r="V27" s="9"/>
      <c r="W27" s="9"/>
      <c r="X27" s="9"/>
    </row>
    <row r="28" spans="1:24" ht="15" customHeight="1" thickBot="1" x14ac:dyDescent="0.4">
      <c r="A28" s="85"/>
      <c r="B28" s="80"/>
      <c r="C28" s="81"/>
      <c r="D28" s="81"/>
      <c r="E28" s="81"/>
      <c r="F28" s="81"/>
      <c r="G28" s="81"/>
      <c r="H28" s="81"/>
      <c r="I28" s="81"/>
      <c r="J28" s="81"/>
      <c r="K28" s="81"/>
      <c r="L28" s="81"/>
      <c r="M28" s="81"/>
      <c r="N28" s="81"/>
      <c r="O28" s="81"/>
      <c r="P28" s="81"/>
      <c r="Q28" s="81"/>
      <c r="R28" s="81"/>
      <c r="S28" s="82"/>
      <c r="T28" s="9"/>
      <c r="U28" s="9"/>
      <c r="V28" s="9"/>
      <c r="W28" s="9"/>
      <c r="X28" s="9"/>
    </row>
    <row r="29" spans="1:24"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x14ac:dyDescent="0.35">
      <c r="A30" s="9"/>
      <c r="B30" s="9"/>
      <c r="C30" s="9"/>
      <c r="D30" s="9"/>
      <c r="E30" s="9"/>
      <c r="F30" s="9"/>
      <c r="G30" s="9"/>
      <c r="H30" s="9"/>
      <c r="I30" s="9"/>
      <c r="J30" s="9"/>
      <c r="K30" s="9"/>
      <c r="L30" s="9"/>
      <c r="M30" s="9"/>
      <c r="N30" s="9"/>
      <c r="O30" s="9"/>
      <c r="P30" s="9"/>
      <c r="Q30" s="9"/>
      <c r="R30" s="9"/>
      <c r="S30" s="9"/>
      <c r="T30" s="9"/>
      <c r="U30" s="9"/>
      <c r="V30" s="9"/>
      <c r="W30" s="9"/>
      <c r="X30" s="9"/>
    </row>
  </sheetData>
  <mergeCells count="4">
    <mergeCell ref="B1:S4"/>
    <mergeCell ref="B7:S20"/>
    <mergeCell ref="B22:S24"/>
    <mergeCell ref="B26:S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92B3-D36A-4068-A42D-4A20ADABCA43}">
  <dimension ref="A1:AD50"/>
  <sheetViews>
    <sheetView zoomScale="65" workbookViewId="0">
      <selection activeCell="V18" sqref="V18"/>
    </sheetView>
  </sheetViews>
  <sheetFormatPr defaultRowHeight="14.5" x14ac:dyDescent="0.35"/>
  <sheetData>
    <row r="1" spans="1:30" ht="15" thickBot="1" x14ac:dyDescent="0.4">
      <c r="A1" s="9"/>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35">
      <c r="A2" s="9"/>
      <c r="B2" s="92" t="s">
        <v>1745</v>
      </c>
      <c r="C2" s="87"/>
      <c r="D2" s="87"/>
      <c r="E2" s="87"/>
      <c r="F2" s="87"/>
      <c r="G2" s="87"/>
      <c r="H2" s="87"/>
      <c r="I2" s="87"/>
      <c r="J2" s="87"/>
      <c r="K2" s="87"/>
      <c r="L2" s="87"/>
      <c r="M2" s="87"/>
      <c r="N2" s="87"/>
      <c r="O2" s="87"/>
      <c r="P2" s="87"/>
      <c r="Q2" s="87"/>
      <c r="R2" s="87"/>
      <c r="S2" s="88"/>
      <c r="T2" s="9"/>
      <c r="U2" s="9"/>
      <c r="V2" s="9"/>
      <c r="W2" s="9"/>
      <c r="X2" s="9"/>
      <c r="Y2" s="9"/>
      <c r="Z2" s="9"/>
      <c r="AA2" s="9"/>
      <c r="AB2" s="9"/>
      <c r="AC2" s="9"/>
      <c r="AD2" s="9"/>
    </row>
    <row r="3" spans="1:30" ht="15" thickBot="1" x14ac:dyDescent="0.4">
      <c r="A3" s="9"/>
      <c r="B3" s="89"/>
      <c r="C3" s="90"/>
      <c r="D3" s="90"/>
      <c r="E3" s="90"/>
      <c r="F3" s="90"/>
      <c r="G3" s="90"/>
      <c r="H3" s="90"/>
      <c r="I3" s="90"/>
      <c r="J3" s="90"/>
      <c r="K3" s="90"/>
      <c r="L3" s="90"/>
      <c r="M3" s="90"/>
      <c r="N3" s="90"/>
      <c r="O3" s="90"/>
      <c r="P3" s="90"/>
      <c r="Q3" s="90"/>
      <c r="R3" s="90"/>
      <c r="S3" s="91"/>
      <c r="T3" s="9"/>
      <c r="U3" s="9"/>
      <c r="V3" s="9"/>
      <c r="W3" s="9"/>
      <c r="X3" s="9"/>
      <c r="Y3" s="9"/>
      <c r="Z3" s="9"/>
      <c r="AA3" s="9"/>
      <c r="AB3" s="9"/>
      <c r="AC3" s="9"/>
      <c r="AD3" s="9"/>
    </row>
    <row r="4" spans="1:30" x14ac:dyDescent="0.35">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ht="15" thickBot="1" x14ac:dyDescent="0.4">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x14ac:dyDescent="0.35">
      <c r="A6" s="9"/>
      <c r="B6" s="74" t="s">
        <v>1746</v>
      </c>
      <c r="C6" s="75"/>
      <c r="D6" s="75"/>
      <c r="E6" s="75"/>
      <c r="F6" s="75"/>
      <c r="G6" s="75"/>
      <c r="H6" s="75"/>
      <c r="I6" s="75"/>
      <c r="J6" s="75"/>
      <c r="K6" s="75"/>
      <c r="L6" s="75"/>
      <c r="M6" s="75"/>
      <c r="N6" s="75"/>
      <c r="O6" s="75"/>
      <c r="P6" s="75"/>
      <c r="Q6" s="75"/>
      <c r="R6" s="75"/>
      <c r="S6" s="76"/>
      <c r="T6" s="9"/>
      <c r="U6" s="9"/>
      <c r="V6" s="9"/>
      <c r="W6" s="9"/>
      <c r="X6" s="9"/>
      <c r="Y6" s="9"/>
      <c r="Z6" s="9"/>
      <c r="AA6" s="9"/>
      <c r="AB6" s="9"/>
      <c r="AC6" s="9"/>
      <c r="AD6" s="9"/>
    </row>
    <row r="7" spans="1:30" x14ac:dyDescent="0.35">
      <c r="A7" s="9"/>
      <c r="B7" s="77"/>
      <c r="C7" s="78"/>
      <c r="D7" s="78"/>
      <c r="E7" s="78"/>
      <c r="F7" s="78"/>
      <c r="G7" s="78"/>
      <c r="H7" s="78"/>
      <c r="I7" s="78"/>
      <c r="J7" s="78"/>
      <c r="K7" s="78"/>
      <c r="L7" s="78"/>
      <c r="M7" s="78"/>
      <c r="N7" s="78"/>
      <c r="O7" s="78"/>
      <c r="P7" s="78"/>
      <c r="Q7" s="78"/>
      <c r="R7" s="78"/>
      <c r="S7" s="79"/>
      <c r="T7" s="9"/>
      <c r="U7" s="9"/>
      <c r="V7" s="9"/>
      <c r="W7" s="9"/>
      <c r="X7" s="9"/>
      <c r="Y7" s="9"/>
      <c r="Z7" s="9"/>
      <c r="AA7" s="9"/>
      <c r="AB7" s="9"/>
      <c r="AC7" s="9"/>
      <c r="AD7" s="9"/>
    </row>
    <row r="8" spans="1:30" x14ac:dyDescent="0.35">
      <c r="A8" s="9"/>
      <c r="B8" s="77"/>
      <c r="C8" s="78"/>
      <c r="D8" s="78"/>
      <c r="E8" s="78"/>
      <c r="F8" s="78"/>
      <c r="G8" s="78"/>
      <c r="H8" s="78"/>
      <c r="I8" s="78"/>
      <c r="J8" s="78"/>
      <c r="K8" s="78"/>
      <c r="L8" s="78"/>
      <c r="M8" s="78"/>
      <c r="N8" s="78"/>
      <c r="O8" s="78"/>
      <c r="P8" s="78"/>
      <c r="Q8" s="78"/>
      <c r="R8" s="78"/>
      <c r="S8" s="79"/>
      <c r="T8" s="9"/>
      <c r="U8" s="9"/>
      <c r="V8" s="9"/>
      <c r="W8" s="9"/>
      <c r="X8" s="9"/>
      <c r="Y8" s="9"/>
      <c r="Z8" s="9"/>
      <c r="AA8" s="9"/>
      <c r="AB8" s="9"/>
      <c r="AC8" s="9"/>
      <c r="AD8" s="9"/>
    </row>
    <row r="9" spans="1:30" x14ac:dyDescent="0.35">
      <c r="A9" s="9"/>
      <c r="B9" s="77"/>
      <c r="C9" s="78"/>
      <c r="D9" s="78"/>
      <c r="E9" s="78"/>
      <c r="F9" s="78"/>
      <c r="G9" s="78"/>
      <c r="H9" s="78"/>
      <c r="I9" s="78"/>
      <c r="J9" s="78"/>
      <c r="K9" s="78"/>
      <c r="L9" s="78"/>
      <c r="M9" s="78"/>
      <c r="N9" s="78"/>
      <c r="O9" s="78"/>
      <c r="P9" s="78"/>
      <c r="Q9" s="78"/>
      <c r="R9" s="78"/>
      <c r="S9" s="79"/>
      <c r="T9" s="9"/>
      <c r="U9" s="9"/>
      <c r="V9" s="9"/>
      <c r="W9" s="9"/>
      <c r="X9" s="9"/>
      <c r="Y9" s="9"/>
      <c r="Z9" s="9"/>
      <c r="AA9" s="9"/>
      <c r="AB9" s="9"/>
      <c r="AC9" s="9"/>
      <c r="AD9" s="9"/>
    </row>
    <row r="10" spans="1:30" ht="15" thickBot="1" x14ac:dyDescent="0.4">
      <c r="A10" s="9"/>
      <c r="B10" s="80"/>
      <c r="C10" s="81"/>
      <c r="D10" s="81"/>
      <c r="E10" s="81"/>
      <c r="F10" s="81"/>
      <c r="G10" s="81"/>
      <c r="H10" s="81"/>
      <c r="I10" s="81"/>
      <c r="J10" s="81"/>
      <c r="K10" s="81"/>
      <c r="L10" s="81"/>
      <c r="M10" s="81"/>
      <c r="N10" s="81"/>
      <c r="O10" s="81"/>
      <c r="P10" s="81"/>
      <c r="Q10" s="81"/>
      <c r="R10" s="81"/>
      <c r="S10" s="82"/>
      <c r="T10" s="9"/>
      <c r="U10" s="9"/>
      <c r="V10" s="9"/>
      <c r="W10" s="9"/>
      <c r="X10" s="9"/>
      <c r="Y10" s="9"/>
      <c r="Z10" s="9"/>
      <c r="AA10" s="9"/>
      <c r="AB10" s="9"/>
      <c r="AC10" s="9"/>
      <c r="AD10" s="9"/>
    </row>
    <row r="11" spans="1:30" ht="15" thickBot="1" x14ac:dyDescent="0.4">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x14ac:dyDescent="0.35">
      <c r="A12" s="9"/>
      <c r="B12" s="93" t="s">
        <v>1747</v>
      </c>
      <c r="C12" s="94"/>
      <c r="D12" s="94"/>
      <c r="E12" s="94"/>
      <c r="F12" s="94"/>
      <c r="G12" s="94"/>
      <c r="H12" s="94"/>
      <c r="I12" s="94"/>
      <c r="J12" s="94"/>
      <c r="K12" s="94"/>
      <c r="L12" s="94"/>
      <c r="M12" s="94"/>
      <c r="N12" s="94"/>
      <c r="O12" s="94"/>
      <c r="P12" s="94"/>
      <c r="Q12" s="94"/>
      <c r="R12" s="94"/>
      <c r="S12" s="95"/>
      <c r="T12" s="9"/>
      <c r="U12" s="9"/>
      <c r="V12" s="9"/>
      <c r="W12" s="9"/>
      <c r="X12" s="9"/>
      <c r="Y12" s="9"/>
      <c r="Z12" s="9"/>
      <c r="AA12" s="9"/>
      <c r="AB12" s="9"/>
      <c r="AC12" s="9"/>
      <c r="AD12" s="9"/>
    </row>
    <row r="13" spans="1:30" x14ac:dyDescent="0.35">
      <c r="A13" s="9"/>
      <c r="B13" s="96"/>
      <c r="C13" s="97"/>
      <c r="D13" s="97"/>
      <c r="E13" s="97"/>
      <c r="F13" s="97"/>
      <c r="G13" s="97"/>
      <c r="H13" s="97"/>
      <c r="I13" s="97"/>
      <c r="J13" s="97"/>
      <c r="K13" s="97"/>
      <c r="L13" s="97"/>
      <c r="M13" s="97"/>
      <c r="N13" s="97"/>
      <c r="O13" s="97"/>
      <c r="P13" s="97"/>
      <c r="Q13" s="97"/>
      <c r="R13" s="97"/>
      <c r="S13" s="98"/>
      <c r="T13" s="9"/>
      <c r="U13" s="9"/>
      <c r="V13" s="9"/>
      <c r="W13" s="9"/>
      <c r="X13" s="9"/>
      <c r="Y13" s="9"/>
      <c r="Z13" s="9"/>
      <c r="AA13" s="9"/>
      <c r="AB13" s="9"/>
      <c r="AC13" s="9"/>
      <c r="AD13" s="9"/>
    </row>
    <row r="14" spans="1:30" x14ac:dyDescent="0.35">
      <c r="A14" s="9"/>
      <c r="B14" s="96"/>
      <c r="C14" s="97"/>
      <c r="D14" s="97"/>
      <c r="E14" s="97"/>
      <c r="F14" s="97"/>
      <c r="G14" s="97"/>
      <c r="H14" s="97"/>
      <c r="I14" s="97"/>
      <c r="J14" s="97"/>
      <c r="K14" s="97"/>
      <c r="L14" s="97"/>
      <c r="M14" s="97"/>
      <c r="N14" s="97"/>
      <c r="O14" s="97"/>
      <c r="P14" s="97"/>
      <c r="Q14" s="97"/>
      <c r="R14" s="97"/>
      <c r="S14" s="98"/>
      <c r="T14" s="9"/>
      <c r="U14" s="9"/>
      <c r="V14" s="9"/>
      <c r="W14" s="9"/>
      <c r="X14" s="9"/>
      <c r="Y14" s="9"/>
      <c r="Z14" s="9"/>
      <c r="AA14" s="9"/>
      <c r="AB14" s="9"/>
      <c r="AC14" s="9"/>
      <c r="AD14" s="9"/>
    </row>
    <row r="15" spans="1:30" x14ac:dyDescent="0.35">
      <c r="A15" s="9"/>
      <c r="B15" s="96"/>
      <c r="C15" s="97"/>
      <c r="D15" s="97"/>
      <c r="E15" s="97"/>
      <c r="F15" s="97"/>
      <c r="G15" s="97"/>
      <c r="H15" s="97"/>
      <c r="I15" s="97"/>
      <c r="J15" s="97"/>
      <c r="K15" s="97"/>
      <c r="L15" s="97"/>
      <c r="M15" s="97"/>
      <c r="N15" s="97"/>
      <c r="O15" s="97"/>
      <c r="P15" s="97"/>
      <c r="Q15" s="97"/>
      <c r="R15" s="97"/>
      <c r="S15" s="98"/>
      <c r="T15" s="9"/>
      <c r="U15" s="9"/>
      <c r="V15" s="9"/>
      <c r="W15" s="9"/>
      <c r="X15" s="9"/>
      <c r="Y15" s="9"/>
      <c r="Z15" s="9"/>
      <c r="AA15" s="9"/>
      <c r="AB15" s="9"/>
      <c r="AC15" s="9"/>
      <c r="AD15" s="9"/>
    </row>
    <row r="16" spans="1:30" x14ac:dyDescent="0.35">
      <c r="A16" s="9"/>
      <c r="B16" s="96"/>
      <c r="C16" s="97"/>
      <c r="D16" s="97"/>
      <c r="E16" s="97"/>
      <c r="F16" s="97"/>
      <c r="G16" s="97"/>
      <c r="H16" s="97"/>
      <c r="I16" s="97"/>
      <c r="J16" s="97"/>
      <c r="K16" s="97"/>
      <c r="L16" s="97"/>
      <c r="M16" s="97"/>
      <c r="N16" s="97"/>
      <c r="O16" s="97"/>
      <c r="P16" s="97"/>
      <c r="Q16" s="97"/>
      <c r="R16" s="97"/>
      <c r="S16" s="98"/>
      <c r="T16" s="9"/>
      <c r="U16" s="9"/>
      <c r="V16" s="9"/>
      <c r="W16" s="9"/>
      <c r="X16" s="9"/>
      <c r="Y16" s="9"/>
      <c r="Z16" s="9"/>
      <c r="AA16" s="9"/>
      <c r="AB16" s="9"/>
      <c r="AC16" s="9"/>
      <c r="AD16" s="9"/>
    </row>
    <row r="17" spans="1:30" x14ac:dyDescent="0.35">
      <c r="A17" s="9"/>
      <c r="B17" s="96"/>
      <c r="C17" s="97"/>
      <c r="D17" s="97"/>
      <c r="E17" s="97"/>
      <c r="F17" s="97"/>
      <c r="G17" s="97"/>
      <c r="H17" s="97"/>
      <c r="I17" s="97"/>
      <c r="J17" s="97"/>
      <c r="K17" s="97"/>
      <c r="L17" s="97"/>
      <c r="M17" s="97"/>
      <c r="N17" s="97"/>
      <c r="O17" s="97"/>
      <c r="P17" s="97"/>
      <c r="Q17" s="97"/>
      <c r="R17" s="97"/>
      <c r="S17" s="98"/>
      <c r="T17" s="9"/>
      <c r="U17" s="9"/>
      <c r="V17" s="9"/>
      <c r="W17" s="9"/>
      <c r="X17" s="9"/>
      <c r="Y17" s="9"/>
      <c r="Z17" s="9"/>
      <c r="AA17" s="9"/>
      <c r="AB17" s="9"/>
      <c r="AC17" s="9"/>
      <c r="AD17" s="9"/>
    </row>
    <row r="18" spans="1:30" x14ac:dyDescent="0.35">
      <c r="A18" s="9"/>
      <c r="B18" s="96"/>
      <c r="C18" s="97"/>
      <c r="D18" s="97"/>
      <c r="E18" s="97"/>
      <c r="F18" s="97"/>
      <c r="G18" s="97"/>
      <c r="H18" s="97"/>
      <c r="I18" s="97"/>
      <c r="J18" s="97"/>
      <c r="K18" s="97"/>
      <c r="L18" s="97"/>
      <c r="M18" s="97"/>
      <c r="N18" s="97"/>
      <c r="O18" s="97"/>
      <c r="P18" s="97"/>
      <c r="Q18" s="97"/>
      <c r="R18" s="97"/>
      <c r="S18" s="98"/>
      <c r="T18" s="9"/>
      <c r="U18" s="9"/>
      <c r="V18" s="9"/>
      <c r="W18" s="9"/>
      <c r="X18" s="9"/>
      <c r="Y18" s="9"/>
      <c r="Z18" s="9"/>
      <c r="AA18" s="9"/>
      <c r="AB18" s="9"/>
      <c r="AC18" s="9"/>
      <c r="AD18" s="9"/>
    </row>
    <row r="19" spans="1:30" ht="15" thickBot="1" x14ac:dyDescent="0.4">
      <c r="A19" s="9"/>
      <c r="B19" s="99"/>
      <c r="C19" s="100"/>
      <c r="D19" s="100"/>
      <c r="E19" s="100"/>
      <c r="F19" s="100"/>
      <c r="G19" s="100"/>
      <c r="H19" s="100"/>
      <c r="I19" s="100"/>
      <c r="J19" s="100"/>
      <c r="K19" s="100"/>
      <c r="L19" s="100"/>
      <c r="M19" s="100"/>
      <c r="N19" s="100"/>
      <c r="O19" s="100"/>
      <c r="P19" s="100"/>
      <c r="Q19" s="100"/>
      <c r="R19" s="100"/>
      <c r="S19" s="101"/>
      <c r="T19" s="9"/>
      <c r="U19" s="9"/>
      <c r="V19" s="9"/>
      <c r="W19" s="9"/>
      <c r="X19" s="9"/>
      <c r="Y19" s="9"/>
      <c r="Z19" s="9"/>
      <c r="AA19" s="9"/>
      <c r="AB19" s="9"/>
      <c r="AC19" s="9"/>
      <c r="AD19" s="9"/>
    </row>
    <row r="20" spans="1:30" ht="15" thickBot="1" x14ac:dyDescent="0.4">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x14ac:dyDescent="0.35">
      <c r="A21" s="9"/>
      <c r="B21" s="65" t="s">
        <v>1748</v>
      </c>
      <c r="C21" s="66"/>
      <c r="D21" s="66"/>
      <c r="E21" s="66"/>
      <c r="F21" s="66"/>
      <c r="G21" s="66"/>
      <c r="H21" s="66"/>
      <c r="I21" s="66"/>
      <c r="J21" s="66"/>
      <c r="K21" s="66"/>
      <c r="L21" s="66"/>
      <c r="M21" s="66"/>
      <c r="N21" s="66"/>
      <c r="O21" s="66"/>
      <c r="P21" s="66"/>
      <c r="Q21" s="66"/>
      <c r="R21" s="66"/>
      <c r="S21" s="67"/>
      <c r="T21" s="9"/>
      <c r="U21" s="9"/>
      <c r="V21" s="9"/>
      <c r="W21" s="9"/>
      <c r="X21" s="9"/>
      <c r="Y21" s="9"/>
      <c r="Z21" s="9"/>
      <c r="AA21" s="9"/>
      <c r="AB21" s="9"/>
      <c r="AC21" s="9"/>
      <c r="AD21" s="9"/>
    </row>
    <row r="22" spans="1:30" x14ac:dyDescent="0.35">
      <c r="A22" s="9"/>
      <c r="B22" s="68"/>
      <c r="C22" s="69"/>
      <c r="D22" s="69"/>
      <c r="E22" s="69"/>
      <c r="F22" s="69"/>
      <c r="G22" s="69"/>
      <c r="H22" s="69"/>
      <c r="I22" s="69"/>
      <c r="J22" s="69"/>
      <c r="K22" s="69"/>
      <c r="L22" s="69"/>
      <c r="M22" s="69"/>
      <c r="N22" s="69"/>
      <c r="O22" s="69"/>
      <c r="P22" s="69"/>
      <c r="Q22" s="69"/>
      <c r="R22" s="69"/>
      <c r="S22" s="70"/>
      <c r="T22" s="9"/>
      <c r="U22" s="9"/>
      <c r="V22" s="9"/>
      <c r="W22" s="9"/>
      <c r="X22" s="9"/>
      <c r="Y22" s="9"/>
      <c r="Z22" s="9"/>
      <c r="AA22" s="9"/>
      <c r="AB22" s="9"/>
      <c r="AC22" s="9"/>
      <c r="AD22" s="9"/>
    </row>
    <row r="23" spans="1:30" x14ac:dyDescent="0.35">
      <c r="A23" s="9"/>
      <c r="B23" s="68"/>
      <c r="C23" s="69"/>
      <c r="D23" s="69"/>
      <c r="E23" s="69"/>
      <c r="F23" s="69"/>
      <c r="G23" s="69"/>
      <c r="H23" s="69"/>
      <c r="I23" s="69"/>
      <c r="J23" s="69"/>
      <c r="K23" s="69"/>
      <c r="L23" s="69"/>
      <c r="M23" s="69"/>
      <c r="N23" s="69"/>
      <c r="O23" s="69"/>
      <c r="P23" s="69"/>
      <c r="Q23" s="69"/>
      <c r="R23" s="69"/>
      <c r="S23" s="70"/>
      <c r="T23" s="9"/>
      <c r="U23" s="9"/>
      <c r="V23" s="9"/>
      <c r="W23" s="9"/>
      <c r="X23" s="9"/>
      <c r="Y23" s="9"/>
      <c r="Z23" s="9"/>
      <c r="AA23" s="9"/>
      <c r="AB23" s="9"/>
      <c r="AC23" s="9"/>
      <c r="AD23" s="9"/>
    </row>
    <row r="24" spans="1:30" x14ac:dyDescent="0.35">
      <c r="A24" s="9"/>
      <c r="B24" s="68"/>
      <c r="C24" s="69"/>
      <c r="D24" s="69"/>
      <c r="E24" s="69"/>
      <c r="F24" s="69"/>
      <c r="G24" s="69"/>
      <c r="H24" s="69"/>
      <c r="I24" s="69"/>
      <c r="J24" s="69"/>
      <c r="K24" s="69"/>
      <c r="L24" s="69"/>
      <c r="M24" s="69"/>
      <c r="N24" s="69"/>
      <c r="O24" s="69"/>
      <c r="P24" s="69"/>
      <c r="Q24" s="69"/>
      <c r="R24" s="69"/>
      <c r="S24" s="70"/>
      <c r="T24" s="9"/>
      <c r="U24" s="9"/>
      <c r="V24" s="9"/>
      <c r="W24" s="9"/>
      <c r="X24" s="9"/>
      <c r="Y24" s="9"/>
      <c r="Z24" s="9"/>
      <c r="AA24" s="9"/>
      <c r="AB24" s="9"/>
      <c r="AC24" s="9"/>
      <c r="AD24" s="9"/>
    </row>
    <row r="25" spans="1:30" x14ac:dyDescent="0.35">
      <c r="A25" s="9"/>
      <c r="B25" s="68"/>
      <c r="C25" s="69"/>
      <c r="D25" s="69"/>
      <c r="E25" s="69"/>
      <c r="F25" s="69"/>
      <c r="G25" s="69"/>
      <c r="H25" s="69"/>
      <c r="I25" s="69"/>
      <c r="J25" s="69"/>
      <c r="K25" s="69"/>
      <c r="L25" s="69"/>
      <c r="M25" s="69"/>
      <c r="N25" s="69"/>
      <c r="O25" s="69"/>
      <c r="P25" s="69"/>
      <c r="Q25" s="69"/>
      <c r="R25" s="69"/>
      <c r="S25" s="70"/>
      <c r="T25" s="9"/>
      <c r="U25" s="9"/>
      <c r="V25" s="9"/>
      <c r="W25" s="9"/>
      <c r="X25" s="9"/>
      <c r="Y25" s="9"/>
      <c r="Z25" s="9"/>
      <c r="AA25" s="9"/>
      <c r="AB25" s="9"/>
      <c r="AC25" s="9"/>
      <c r="AD25" s="9"/>
    </row>
    <row r="26" spans="1:30" x14ac:dyDescent="0.35">
      <c r="A26" s="9"/>
      <c r="B26" s="68"/>
      <c r="C26" s="69"/>
      <c r="D26" s="69"/>
      <c r="E26" s="69"/>
      <c r="F26" s="69"/>
      <c r="G26" s="69"/>
      <c r="H26" s="69"/>
      <c r="I26" s="69"/>
      <c r="J26" s="69"/>
      <c r="K26" s="69"/>
      <c r="L26" s="69"/>
      <c r="M26" s="69"/>
      <c r="N26" s="69"/>
      <c r="O26" s="69"/>
      <c r="P26" s="69"/>
      <c r="Q26" s="69"/>
      <c r="R26" s="69"/>
      <c r="S26" s="70"/>
      <c r="T26" s="9"/>
      <c r="U26" s="9"/>
      <c r="V26" s="9"/>
      <c r="W26" s="9"/>
      <c r="X26" s="9"/>
      <c r="Y26" s="9"/>
      <c r="Z26" s="9"/>
      <c r="AA26" s="9"/>
      <c r="AB26" s="9"/>
      <c r="AC26" s="9"/>
      <c r="AD26" s="9"/>
    </row>
    <row r="27" spans="1:30" x14ac:dyDescent="0.35">
      <c r="A27" s="9"/>
      <c r="B27" s="68"/>
      <c r="C27" s="69"/>
      <c r="D27" s="69"/>
      <c r="E27" s="69"/>
      <c r="F27" s="69"/>
      <c r="G27" s="69"/>
      <c r="H27" s="69"/>
      <c r="I27" s="69"/>
      <c r="J27" s="69"/>
      <c r="K27" s="69"/>
      <c r="L27" s="69"/>
      <c r="M27" s="69"/>
      <c r="N27" s="69"/>
      <c r="O27" s="69"/>
      <c r="P27" s="69"/>
      <c r="Q27" s="69"/>
      <c r="R27" s="69"/>
      <c r="S27" s="70"/>
      <c r="T27" s="9"/>
      <c r="U27" s="9"/>
      <c r="V27" s="9"/>
      <c r="W27" s="9"/>
      <c r="X27" s="9"/>
      <c r="Y27" s="9"/>
      <c r="Z27" s="9"/>
      <c r="AA27" s="9"/>
      <c r="AB27" s="9"/>
      <c r="AC27" s="9"/>
      <c r="AD27" s="9"/>
    </row>
    <row r="28" spans="1:30" ht="15" thickBot="1" x14ac:dyDescent="0.4">
      <c r="A28" s="9"/>
      <c r="B28" s="71"/>
      <c r="C28" s="72"/>
      <c r="D28" s="72"/>
      <c r="E28" s="72"/>
      <c r="F28" s="72"/>
      <c r="G28" s="72"/>
      <c r="H28" s="72"/>
      <c r="I28" s="72"/>
      <c r="J28" s="72"/>
      <c r="K28" s="72"/>
      <c r="L28" s="72"/>
      <c r="M28" s="72"/>
      <c r="N28" s="72"/>
      <c r="O28" s="72"/>
      <c r="P28" s="72"/>
      <c r="Q28" s="72"/>
      <c r="R28" s="72"/>
      <c r="S28" s="73"/>
      <c r="T28" s="9"/>
      <c r="U28" s="9"/>
      <c r="V28" s="9"/>
      <c r="W28" s="9"/>
      <c r="X28" s="9"/>
      <c r="Y28" s="9"/>
      <c r="Z28" s="9"/>
      <c r="AA28" s="9"/>
      <c r="AB28" s="9"/>
      <c r="AC28" s="9"/>
      <c r="AD28" s="9"/>
    </row>
    <row r="29" spans="1:30" ht="15" thickBot="1" x14ac:dyDescent="0.4">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x14ac:dyDescent="0.35">
      <c r="A30" s="9"/>
      <c r="B30" s="110" t="s">
        <v>1749</v>
      </c>
      <c r="C30" s="102"/>
      <c r="D30" s="102"/>
      <c r="E30" s="102"/>
      <c r="F30" s="102"/>
      <c r="G30" s="102"/>
      <c r="H30" s="102"/>
      <c r="I30" s="102"/>
      <c r="J30" s="102"/>
      <c r="K30" s="102"/>
      <c r="L30" s="102"/>
      <c r="M30" s="102"/>
      <c r="N30" s="102"/>
      <c r="O30" s="102"/>
      <c r="P30" s="102"/>
      <c r="Q30" s="102"/>
      <c r="R30" s="102"/>
      <c r="S30" s="103"/>
      <c r="T30" s="9"/>
      <c r="U30" s="9"/>
      <c r="V30" s="9"/>
      <c r="W30" s="9"/>
      <c r="X30" s="9"/>
      <c r="Y30" s="9"/>
      <c r="Z30" s="9"/>
      <c r="AA30" s="9"/>
      <c r="AB30" s="9"/>
      <c r="AC30" s="9"/>
      <c r="AD30" s="9"/>
    </row>
    <row r="31" spans="1:30" x14ac:dyDescent="0.35">
      <c r="A31" s="9"/>
      <c r="B31" s="104"/>
      <c r="C31" s="105"/>
      <c r="D31" s="105"/>
      <c r="E31" s="105"/>
      <c r="F31" s="105"/>
      <c r="G31" s="105"/>
      <c r="H31" s="105"/>
      <c r="I31" s="105"/>
      <c r="J31" s="105"/>
      <c r="K31" s="105"/>
      <c r="L31" s="105"/>
      <c r="M31" s="105"/>
      <c r="N31" s="105"/>
      <c r="O31" s="105"/>
      <c r="P31" s="105"/>
      <c r="Q31" s="105"/>
      <c r="R31" s="105"/>
      <c r="S31" s="106"/>
      <c r="T31" s="9"/>
      <c r="U31" s="9"/>
      <c r="V31" s="9"/>
      <c r="W31" s="9"/>
      <c r="X31" s="9"/>
      <c r="Y31" s="9"/>
      <c r="Z31" s="9"/>
      <c r="AA31" s="9"/>
      <c r="AB31" s="9"/>
      <c r="AC31" s="9"/>
      <c r="AD31" s="9"/>
    </row>
    <row r="32" spans="1:30" x14ac:dyDescent="0.35">
      <c r="A32" s="9"/>
      <c r="B32" s="104"/>
      <c r="C32" s="105"/>
      <c r="D32" s="105"/>
      <c r="E32" s="105"/>
      <c r="F32" s="105"/>
      <c r="G32" s="105"/>
      <c r="H32" s="105"/>
      <c r="I32" s="105"/>
      <c r="J32" s="105"/>
      <c r="K32" s="105"/>
      <c r="L32" s="105"/>
      <c r="M32" s="105"/>
      <c r="N32" s="105"/>
      <c r="O32" s="105"/>
      <c r="P32" s="105"/>
      <c r="Q32" s="105"/>
      <c r="R32" s="105"/>
      <c r="S32" s="106"/>
      <c r="T32" s="9"/>
      <c r="U32" s="9"/>
      <c r="V32" s="9"/>
      <c r="W32" s="9"/>
      <c r="X32" s="9"/>
      <c r="Y32" s="9"/>
      <c r="Z32" s="9"/>
      <c r="AA32" s="9"/>
      <c r="AB32" s="9"/>
      <c r="AC32" s="9"/>
      <c r="AD32" s="9"/>
    </row>
    <row r="33" spans="1:30" x14ac:dyDescent="0.35">
      <c r="A33" s="9"/>
      <c r="B33" s="104"/>
      <c r="C33" s="105"/>
      <c r="D33" s="105"/>
      <c r="E33" s="105"/>
      <c r="F33" s="105"/>
      <c r="G33" s="105"/>
      <c r="H33" s="105"/>
      <c r="I33" s="105"/>
      <c r="J33" s="105"/>
      <c r="K33" s="105"/>
      <c r="L33" s="105"/>
      <c r="M33" s="105"/>
      <c r="N33" s="105"/>
      <c r="O33" s="105"/>
      <c r="P33" s="105"/>
      <c r="Q33" s="105"/>
      <c r="R33" s="105"/>
      <c r="S33" s="106"/>
      <c r="T33" s="9"/>
      <c r="U33" s="9"/>
      <c r="V33" s="9"/>
      <c r="W33" s="9"/>
      <c r="X33" s="9"/>
      <c r="Y33" s="9"/>
      <c r="Z33" s="9"/>
      <c r="AA33" s="9"/>
      <c r="AB33" s="9"/>
      <c r="AC33" s="9"/>
      <c r="AD33" s="9"/>
    </row>
    <row r="34" spans="1:30" x14ac:dyDescent="0.35">
      <c r="A34" s="9"/>
      <c r="B34" s="104"/>
      <c r="C34" s="105"/>
      <c r="D34" s="105"/>
      <c r="E34" s="105"/>
      <c r="F34" s="105"/>
      <c r="G34" s="105"/>
      <c r="H34" s="105"/>
      <c r="I34" s="105"/>
      <c r="J34" s="105"/>
      <c r="K34" s="105"/>
      <c r="L34" s="105"/>
      <c r="M34" s="105"/>
      <c r="N34" s="105"/>
      <c r="O34" s="105"/>
      <c r="P34" s="105"/>
      <c r="Q34" s="105"/>
      <c r="R34" s="105"/>
      <c r="S34" s="106"/>
      <c r="T34" s="9"/>
      <c r="U34" s="9"/>
      <c r="V34" s="9"/>
      <c r="W34" s="9"/>
      <c r="X34" s="9"/>
      <c r="Y34" s="9"/>
      <c r="Z34" s="9"/>
      <c r="AA34" s="9"/>
      <c r="AB34" s="9"/>
      <c r="AC34" s="9"/>
      <c r="AD34" s="9"/>
    </row>
    <row r="35" spans="1:30" ht="15" thickBot="1" x14ac:dyDescent="0.4">
      <c r="A35" s="9"/>
      <c r="B35" s="107"/>
      <c r="C35" s="108"/>
      <c r="D35" s="108"/>
      <c r="E35" s="108"/>
      <c r="F35" s="108"/>
      <c r="G35" s="108"/>
      <c r="H35" s="108"/>
      <c r="I35" s="108"/>
      <c r="J35" s="108"/>
      <c r="K35" s="108"/>
      <c r="L35" s="108"/>
      <c r="M35" s="108"/>
      <c r="N35" s="108"/>
      <c r="O35" s="108"/>
      <c r="P35" s="108"/>
      <c r="Q35" s="108"/>
      <c r="R35" s="108"/>
      <c r="S35" s="109"/>
      <c r="T35" s="9"/>
      <c r="U35" s="9"/>
      <c r="V35" s="9"/>
      <c r="W35" s="9"/>
      <c r="X35" s="9"/>
      <c r="Y35" s="9"/>
      <c r="Z35" s="9"/>
      <c r="AA35" s="9"/>
      <c r="AB35" s="9"/>
      <c r="AC35" s="9"/>
      <c r="AD35" s="9"/>
    </row>
    <row r="36" spans="1:30"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x14ac:dyDescent="0.3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x14ac:dyDescent="0.3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x14ac:dyDescent="0.3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x14ac:dyDescent="0.3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x14ac:dyDescent="0.3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sheetData>
  <mergeCells count="5">
    <mergeCell ref="B2:S3"/>
    <mergeCell ref="B6:S10"/>
    <mergeCell ref="B12:S19"/>
    <mergeCell ref="B21:S28"/>
    <mergeCell ref="B30:S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FDA8-F5EE-46BD-A818-17132D52C047}">
  <dimension ref="A1:AA81"/>
  <sheetViews>
    <sheetView zoomScale="67" workbookViewId="0">
      <selection activeCell="T61" sqref="T61"/>
    </sheetView>
  </sheetViews>
  <sheetFormatPr defaultRowHeight="14.5" x14ac:dyDescent="0.35"/>
  <cols>
    <col min="10" max="10" width="12.36328125" bestFit="1" customWidth="1"/>
  </cols>
  <sheetData>
    <row r="1" spans="1:27" ht="14.5" customHeight="1" x14ac:dyDescent="0.35">
      <c r="A1" s="27" t="s">
        <v>1732</v>
      </c>
      <c r="B1" s="28"/>
      <c r="C1" s="28"/>
      <c r="D1" s="28"/>
      <c r="E1" s="28"/>
      <c r="F1" s="28"/>
      <c r="G1" s="28"/>
      <c r="H1" s="28"/>
      <c r="I1" s="28"/>
      <c r="J1" s="28"/>
      <c r="K1" s="28"/>
      <c r="L1" s="28"/>
      <c r="M1" s="28"/>
      <c r="N1" s="28"/>
      <c r="O1" s="28"/>
      <c r="P1" s="28"/>
      <c r="Q1" s="28"/>
      <c r="R1" s="28"/>
      <c r="S1" s="28"/>
      <c r="T1" s="28"/>
      <c r="U1" s="28"/>
      <c r="V1" s="28"/>
      <c r="W1" s="28"/>
      <c r="X1" s="28"/>
      <c r="Y1" s="28"/>
      <c r="Z1" s="28"/>
      <c r="AA1" s="29"/>
    </row>
    <row r="2" spans="1:27" x14ac:dyDescent="0.35">
      <c r="A2" s="30"/>
      <c r="B2" s="31"/>
      <c r="C2" s="31"/>
      <c r="D2" s="31"/>
      <c r="E2" s="31"/>
      <c r="F2" s="31"/>
      <c r="G2" s="31"/>
      <c r="H2" s="31"/>
      <c r="I2" s="31"/>
      <c r="J2" s="31"/>
      <c r="K2" s="31"/>
      <c r="L2" s="31"/>
      <c r="M2" s="31"/>
      <c r="N2" s="31"/>
      <c r="O2" s="31"/>
      <c r="P2" s="31"/>
      <c r="Q2" s="31"/>
      <c r="R2" s="31"/>
      <c r="S2" s="31"/>
      <c r="T2" s="31"/>
      <c r="U2" s="31"/>
      <c r="V2" s="31"/>
      <c r="W2" s="31"/>
      <c r="X2" s="31"/>
      <c r="Y2" s="31"/>
      <c r="Z2" s="31"/>
      <c r="AA2" s="32"/>
    </row>
    <row r="3" spans="1:27" x14ac:dyDescent="0.35">
      <c r="A3" s="30"/>
      <c r="B3" s="31"/>
      <c r="C3" s="31"/>
      <c r="D3" s="31"/>
      <c r="E3" s="31"/>
      <c r="F3" s="31"/>
      <c r="G3" s="31"/>
      <c r="H3" s="31"/>
      <c r="I3" s="31"/>
      <c r="J3" s="31"/>
      <c r="K3" s="31"/>
      <c r="L3" s="31"/>
      <c r="M3" s="31"/>
      <c r="N3" s="31"/>
      <c r="O3" s="31"/>
      <c r="P3" s="31"/>
      <c r="Q3" s="31"/>
      <c r="R3" s="31"/>
      <c r="S3" s="31"/>
      <c r="T3" s="31"/>
      <c r="U3" s="31"/>
      <c r="V3" s="31"/>
      <c r="W3" s="31"/>
      <c r="X3" s="31"/>
      <c r="Y3" s="31"/>
      <c r="Z3" s="31"/>
      <c r="AA3" s="32"/>
    </row>
    <row r="4" spans="1:27" x14ac:dyDescent="0.35">
      <c r="A4" s="33"/>
      <c r="B4" s="34"/>
      <c r="C4" s="34"/>
      <c r="D4" s="34"/>
      <c r="E4" s="34"/>
      <c r="F4" s="34"/>
      <c r="G4" s="34"/>
      <c r="H4" s="34"/>
      <c r="I4" s="34"/>
      <c r="J4" s="34"/>
      <c r="K4" s="34"/>
      <c r="L4" s="34"/>
      <c r="M4" s="34"/>
      <c r="N4" s="34"/>
      <c r="O4" s="34"/>
      <c r="P4" s="34"/>
      <c r="Q4" s="34"/>
      <c r="R4" s="34"/>
      <c r="S4" s="34"/>
      <c r="T4" s="34"/>
      <c r="U4" s="34"/>
      <c r="V4" s="34"/>
      <c r="W4" s="34"/>
      <c r="X4" s="34"/>
      <c r="Y4" s="34"/>
      <c r="Z4" s="34"/>
      <c r="AA4" s="35"/>
    </row>
    <row r="5" spans="1:27" x14ac:dyDescent="0.35">
      <c r="A5" s="33"/>
      <c r="B5" s="34"/>
      <c r="C5" s="34"/>
      <c r="D5" s="34"/>
      <c r="E5" s="34"/>
      <c r="F5" s="34"/>
      <c r="G5" s="34"/>
      <c r="H5" s="34"/>
      <c r="I5" s="34"/>
      <c r="J5" s="34"/>
      <c r="K5" s="34"/>
      <c r="L5" s="34"/>
      <c r="M5" s="34"/>
      <c r="N5" s="34"/>
      <c r="O5" s="34"/>
      <c r="P5" s="34"/>
      <c r="Q5" s="34"/>
      <c r="R5" s="34"/>
      <c r="S5" s="34"/>
      <c r="T5" s="34"/>
      <c r="U5" s="34"/>
      <c r="V5" s="34"/>
      <c r="W5" s="34"/>
      <c r="X5" s="34"/>
      <c r="Y5" s="34"/>
      <c r="Z5" s="34"/>
      <c r="AA5" s="35"/>
    </row>
    <row r="6" spans="1:27" x14ac:dyDescent="0.35">
      <c r="A6" s="36"/>
      <c r="B6" s="37"/>
      <c r="C6" s="37"/>
      <c r="D6" s="37"/>
      <c r="E6" s="37"/>
      <c r="F6" s="37"/>
      <c r="G6" s="37"/>
      <c r="H6" s="37"/>
      <c r="I6" s="37"/>
      <c r="J6" s="37"/>
      <c r="K6" s="37"/>
      <c r="L6" s="37"/>
      <c r="M6" s="37"/>
      <c r="N6" s="37"/>
      <c r="O6" s="37"/>
      <c r="P6" s="37"/>
      <c r="Q6" s="37"/>
      <c r="R6" s="37"/>
      <c r="S6" s="37"/>
      <c r="T6" s="37"/>
      <c r="U6" s="37"/>
      <c r="V6" s="37"/>
      <c r="W6" s="37"/>
      <c r="X6" s="37"/>
      <c r="Y6" s="38"/>
      <c r="Z6" s="38"/>
      <c r="AA6" s="39"/>
    </row>
    <row r="7" spans="1:27" x14ac:dyDescent="0.35">
      <c r="A7" s="36"/>
      <c r="B7" s="37"/>
      <c r="C7" s="37"/>
      <c r="D7" s="37"/>
      <c r="E7" s="37"/>
      <c r="F7" s="37"/>
      <c r="G7" s="37"/>
      <c r="H7" s="37"/>
      <c r="I7" s="37"/>
      <c r="J7" s="37"/>
      <c r="K7" s="37"/>
      <c r="L7" s="37"/>
      <c r="M7" s="37"/>
      <c r="N7" s="37"/>
      <c r="O7" s="37"/>
      <c r="P7" s="37"/>
      <c r="Q7" s="37"/>
      <c r="R7" s="37"/>
      <c r="S7" s="37"/>
      <c r="T7" s="37"/>
      <c r="U7" s="37"/>
      <c r="V7" s="37"/>
      <c r="W7" s="37"/>
      <c r="X7" s="37"/>
      <c r="Y7" s="38"/>
      <c r="Z7" s="38"/>
      <c r="AA7" s="39"/>
    </row>
    <row r="8" spans="1:27" x14ac:dyDescent="0.35">
      <c r="A8" s="36"/>
      <c r="B8" s="37"/>
      <c r="C8" s="37"/>
      <c r="D8" s="37"/>
      <c r="E8" s="37"/>
      <c r="F8" s="37"/>
      <c r="G8" s="37"/>
      <c r="H8" s="37"/>
      <c r="I8" s="37"/>
      <c r="J8" s="37"/>
      <c r="K8" s="37"/>
      <c r="L8" s="37"/>
      <c r="M8" s="37"/>
      <c r="N8" s="37"/>
      <c r="O8" s="37"/>
      <c r="P8" s="37"/>
      <c r="Q8" s="37"/>
      <c r="R8" s="37"/>
      <c r="S8" s="37"/>
      <c r="T8" s="37"/>
      <c r="U8" s="37"/>
      <c r="V8" s="37"/>
      <c r="W8" s="37"/>
      <c r="X8" s="37"/>
      <c r="Y8" s="38"/>
      <c r="Z8" s="38"/>
      <c r="AA8" s="39"/>
    </row>
    <row r="9" spans="1:27" x14ac:dyDescent="0.35">
      <c r="A9" s="36"/>
      <c r="B9" s="37"/>
      <c r="C9" s="37"/>
      <c r="D9" s="37"/>
      <c r="E9" s="37"/>
      <c r="F9" s="37"/>
      <c r="G9" s="37"/>
      <c r="H9" s="37"/>
      <c r="I9" s="37"/>
      <c r="J9" s="37"/>
      <c r="K9" s="37"/>
      <c r="L9" s="37"/>
      <c r="M9" s="37"/>
      <c r="N9" s="37"/>
      <c r="O9" s="37"/>
      <c r="P9" s="37"/>
      <c r="Q9" s="37"/>
      <c r="R9" s="37"/>
      <c r="S9" s="37"/>
      <c r="T9" s="37"/>
      <c r="U9" s="37"/>
      <c r="V9" s="37"/>
      <c r="W9" s="37"/>
      <c r="X9" s="37"/>
      <c r="Y9" s="38"/>
      <c r="Z9" s="38"/>
      <c r="AA9" s="39"/>
    </row>
    <row r="10" spans="1:27"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8"/>
      <c r="Z10" s="38"/>
      <c r="AA10" s="39"/>
    </row>
    <row r="11" spans="1:27" x14ac:dyDescent="0.35">
      <c r="A11" s="36"/>
      <c r="B11" s="37"/>
      <c r="C11" s="37"/>
      <c r="D11" s="37"/>
      <c r="E11" s="37"/>
      <c r="F11" s="37"/>
      <c r="G11" s="37"/>
      <c r="H11" s="37"/>
      <c r="I11" s="37"/>
      <c r="J11" s="37"/>
      <c r="K11" s="37"/>
      <c r="L11" s="37"/>
      <c r="M11" s="37"/>
      <c r="N11" s="37"/>
      <c r="O11" s="37"/>
      <c r="P11" s="37"/>
      <c r="Q11" s="37"/>
      <c r="R11" s="37"/>
      <c r="S11" s="37"/>
      <c r="T11" s="37"/>
      <c r="U11" s="37"/>
      <c r="V11" s="37"/>
      <c r="W11" s="37"/>
      <c r="X11" s="37"/>
      <c r="Y11" s="38"/>
      <c r="Z11" s="38"/>
      <c r="AA11" s="39"/>
    </row>
    <row r="12" spans="1:27" x14ac:dyDescent="0.35">
      <c r="A12" s="36"/>
      <c r="B12" s="37"/>
      <c r="C12" s="37"/>
      <c r="D12" s="37"/>
      <c r="E12" s="37"/>
      <c r="F12" s="37"/>
      <c r="G12" s="37"/>
      <c r="H12" s="37"/>
      <c r="I12" s="37"/>
      <c r="J12" s="37"/>
      <c r="K12" s="37"/>
      <c r="L12" s="37"/>
      <c r="M12" s="37"/>
      <c r="N12" s="37"/>
      <c r="O12" s="37"/>
      <c r="P12" s="37"/>
      <c r="Q12" s="37"/>
      <c r="R12" s="37"/>
      <c r="S12" s="37"/>
      <c r="T12" s="37"/>
      <c r="U12" s="37"/>
      <c r="V12" s="37"/>
      <c r="W12" s="37"/>
      <c r="X12" s="37"/>
      <c r="Y12" s="38"/>
      <c r="Z12" s="38"/>
      <c r="AA12" s="39"/>
    </row>
    <row r="13" spans="1:27" x14ac:dyDescent="0.35">
      <c r="A13" s="36"/>
      <c r="B13" s="37"/>
      <c r="C13" s="37"/>
      <c r="D13" s="37"/>
      <c r="E13" s="37"/>
      <c r="F13" s="37"/>
      <c r="G13" s="37"/>
      <c r="H13" s="37"/>
      <c r="I13" s="37"/>
      <c r="J13" s="37"/>
      <c r="K13" s="37"/>
      <c r="L13" s="37"/>
      <c r="M13" s="37"/>
      <c r="N13" s="37"/>
      <c r="O13" s="37"/>
      <c r="P13" s="37"/>
      <c r="Q13" s="37"/>
      <c r="R13" s="37"/>
      <c r="S13" s="37"/>
      <c r="T13" s="37"/>
      <c r="U13" s="37"/>
      <c r="V13" s="37"/>
      <c r="W13" s="37"/>
      <c r="X13" s="37"/>
      <c r="Y13" s="38"/>
      <c r="Z13" s="38"/>
      <c r="AA13" s="39"/>
    </row>
    <row r="14" spans="1:27" x14ac:dyDescent="0.35">
      <c r="A14" s="36"/>
      <c r="B14" s="37"/>
      <c r="C14" s="37"/>
      <c r="D14" s="37"/>
      <c r="E14" s="37"/>
      <c r="F14" s="37"/>
      <c r="G14" s="37"/>
      <c r="H14" s="37"/>
      <c r="I14" s="37"/>
      <c r="J14" s="37"/>
      <c r="K14" s="37"/>
      <c r="L14" s="37"/>
      <c r="M14" s="37"/>
      <c r="N14" s="37"/>
      <c r="O14" s="37"/>
      <c r="P14" s="37"/>
      <c r="Q14" s="37"/>
      <c r="R14" s="37"/>
      <c r="S14" s="37"/>
      <c r="T14" s="37"/>
      <c r="U14" s="37"/>
      <c r="V14" s="37"/>
      <c r="W14" s="37"/>
      <c r="X14" s="37"/>
      <c r="Y14" s="38"/>
      <c r="Z14" s="38"/>
      <c r="AA14" s="39"/>
    </row>
    <row r="15" spans="1:27" x14ac:dyDescent="0.35">
      <c r="A15" s="36"/>
      <c r="B15" s="37"/>
      <c r="C15" s="37"/>
      <c r="D15" s="37"/>
      <c r="E15" s="37"/>
      <c r="F15" s="37"/>
      <c r="G15" s="37"/>
      <c r="H15" s="37"/>
      <c r="I15" s="37"/>
      <c r="J15" s="37"/>
      <c r="K15" s="37"/>
      <c r="L15" s="37"/>
      <c r="M15" s="37"/>
      <c r="N15" s="37"/>
      <c r="O15" s="37"/>
      <c r="P15" s="37"/>
      <c r="Q15" s="37"/>
      <c r="R15" s="37"/>
      <c r="S15" s="37"/>
      <c r="T15" s="37"/>
      <c r="U15" s="37"/>
      <c r="V15" s="37"/>
      <c r="W15" s="37"/>
      <c r="X15" s="37"/>
      <c r="Y15" s="38"/>
      <c r="Z15" s="38"/>
      <c r="AA15" s="39"/>
    </row>
    <row r="16" spans="1:27" x14ac:dyDescent="0.35">
      <c r="A16" s="36"/>
      <c r="B16" s="37"/>
      <c r="C16" s="37"/>
      <c r="D16" s="37"/>
      <c r="E16" s="37"/>
      <c r="F16" s="37"/>
      <c r="G16" s="37"/>
      <c r="H16" s="37"/>
      <c r="I16" s="37"/>
      <c r="J16" s="37"/>
      <c r="K16" s="37"/>
      <c r="L16" s="37"/>
      <c r="M16" s="37"/>
      <c r="N16" s="37"/>
      <c r="O16" s="37"/>
      <c r="P16" s="37"/>
      <c r="Q16" s="37"/>
      <c r="R16" s="37"/>
      <c r="S16" s="37"/>
      <c r="T16" s="37"/>
      <c r="U16" s="37"/>
      <c r="V16" s="37"/>
      <c r="W16" s="37"/>
      <c r="X16" s="37"/>
      <c r="Y16" s="38"/>
      <c r="Z16" s="38"/>
      <c r="AA16" s="39"/>
    </row>
    <row r="17" spans="1:27" x14ac:dyDescent="0.35">
      <c r="A17" s="36"/>
      <c r="B17" s="37"/>
      <c r="C17" s="37"/>
      <c r="D17" s="37"/>
      <c r="E17" s="37"/>
      <c r="F17" s="37"/>
      <c r="G17" s="37"/>
      <c r="H17" s="37"/>
      <c r="I17" s="37"/>
      <c r="J17" s="37"/>
      <c r="K17" s="37"/>
      <c r="L17" s="37"/>
      <c r="M17" s="37"/>
      <c r="N17" s="37"/>
      <c r="O17" s="37"/>
      <c r="P17" s="37"/>
      <c r="Q17" s="37"/>
      <c r="R17" s="37"/>
      <c r="S17" s="37"/>
      <c r="T17" s="37"/>
      <c r="U17" s="37"/>
      <c r="V17" s="37"/>
      <c r="W17" s="37"/>
      <c r="X17" s="37"/>
      <c r="Y17" s="38"/>
      <c r="Z17" s="38"/>
      <c r="AA17" s="39"/>
    </row>
    <row r="18" spans="1:27" x14ac:dyDescent="0.35">
      <c r="A18" s="33"/>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5"/>
    </row>
    <row r="19" spans="1:27" x14ac:dyDescent="0.35">
      <c r="A19" s="33"/>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5"/>
    </row>
    <row r="20" spans="1:27" x14ac:dyDescent="0.35">
      <c r="A20" s="33"/>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5"/>
    </row>
    <row r="21" spans="1:27" x14ac:dyDescent="0.35">
      <c r="A21" s="33"/>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5"/>
    </row>
    <row r="22" spans="1:27" x14ac:dyDescent="0.35">
      <c r="A22" s="33"/>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5"/>
    </row>
    <row r="23" spans="1:27" x14ac:dyDescent="0.35">
      <c r="A23" s="33"/>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5"/>
    </row>
    <row r="24" spans="1:27" x14ac:dyDescent="0.35">
      <c r="A24" s="33"/>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5"/>
    </row>
    <row r="25" spans="1:27" x14ac:dyDescent="0.35">
      <c r="A25" s="33"/>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5"/>
    </row>
    <row r="26" spans="1:27" x14ac:dyDescent="0.35">
      <c r="A26" s="33"/>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5"/>
    </row>
    <row r="27" spans="1:27" x14ac:dyDescent="0.35">
      <c r="A27" s="33"/>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5"/>
    </row>
    <row r="28" spans="1:27" x14ac:dyDescent="0.35">
      <c r="A28" s="33"/>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5"/>
    </row>
    <row r="29" spans="1:27" x14ac:dyDescent="0.35">
      <c r="A29" s="33"/>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5"/>
    </row>
    <row r="30" spans="1:27" x14ac:dyDescent="0.35">
      <c r="A30" s="33"/>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5"/>
    </row>
    <row r="31" spans="1:27" x14ac:dyDescent="0.35">
      <c r="A31" s="33"/>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5"/>
    </row>
    <row r="32" spans="1:27" x14ac:dyDescent="0.35">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5"/>
    </row>
    <row r="33" spans="1:27" x14ac:dyDescent="0.35">
      <c r="A33" s="33"/>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5"/>
    </row>
    <row r="34" spans="1:27" x14ac:dyDescent="0.35">
      <c r="A34" s="33"/>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5"/>
    </row>
    <row r="35" spans="1:27" x14ac:dyDescent="0.35">
      <c r="A35" s="33"/>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5"/>
    </row>
    <row r="36" spans="1:27" x14ac:dyDescent="0.35">
      <c r="A36" s="33"/>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5"/>
    </row>
    <row r="37" spans="1:27" x14ac:dyDescent="0.35">
      <c r="A37" s="33"/>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5"/>
    </row>
    <row r="38" spans="1:27" x14ac:dyDescent="0.35">
      <c r="A38" s="33"/>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5"/>
    </row>
    <row r="39" spans="1:27" x14ac:dyDescent="0.35">
      <c r="A39" s="33"/>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5"/>
    </row>
    <row r="40" spans="1:27" x14ac:dyDescent="0.35">
      <c r="A40" s="33"/>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5"/>
    </row>
    <row r="41" spans="1:27" x14ac:dyDescent="0.35">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5"/>
    </row>
    <row r="42" spans="1:27" x14ac:dyDescent="0.35">
      <c r="A42" s="33"/>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5"/>
    </row>
    <row r="43" spans="1:27" x14ac:dyDescent="0.35">
      <c r="A43" s="33"/>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5"/>
    </row>
    <row r="44" spans="1:27" x14ac:dyDescent="0.35">
      <c r="A44" s="33"/>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5"/>
    </row>
    <row r="45" spans="1:27" x14ac:dyDescent="0.35">
      <c r="A45" s="33"/>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5"/>
    </row>
    <row r="46" spans="1:27" x14ac:dyDescent="0.35">
      <c r="A46" s="33"/>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5"/>
    </row>
    <row r="47" spans="1:27" x14ac:dyDescent="0.35">
      <c r="A47" s="33"/>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5"/>
    </row>
    <row r="48" spans="1:27" x14ac:dyDescent="0.35">
      <c r="A48" s="33"/>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5"/>
    </row>
    <row r="49" spans="1:27" x14ac:dyDescent="0.35">
      <c r="A49" s="33"/>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5"/>
    </row>
    <row r="50" spans="1:27" ht="15" thickBot="1" x14ac:dyDescent="0.4">
      <c r="A50" s="40"/>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2"/>
    </row>
    <row r="51" spans="1:27" x14ac:dyDescent="0.35">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spans="1:27" x14ac:dyDescent="0.35">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spans="1:27" x14ac:dyDescent="0.35">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spans="1:27" x14ac:dyDescent="0.35">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spans="1:27" x14ac:dyDescent="0.3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spans="1:27" x14ac:dyDescent="0.35">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spans="1:27" x14ac:dyDescent="0.35">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spans="1:27" x14ac:dyDescent="0.35">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spans="1:27" x14ac:dyDescent="0.35">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spans="1:27" x14ac:dyDescent="0.3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spans="1:27" x14ac:dyDescent="0.35">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spans="1:27" x14ac:dyDescent="0.35">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spans="1:27" x14ac:dyDescent="0.35">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spans="1:27" x14ac:dyDescent="0.35">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spans="1:27" x14ac:dyDescent="0.3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spans="1:27" x14ac:dyDescent="0.35">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spans="1:27" x14ac:dyDescent="0.35">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spans="1:27" x14ac:dyDescent="0.35">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spans="1:27" x14ac:dyDescent="0.35">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spans="1:27" x14ac:dyDescent="0.35">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spans="1:27" x14ac:dyDescent="0.35">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spans="1:27" x14ac:dyDescent="0.35">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spans="1:27" x14ac:dyDescent="0.35">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spans="1:27" x14ac:dyDescent="0.35">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spans="1:27" x14ac:dyDescent="0.3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spans="1:27" x14ac:dyDescent="0.35">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spans="1:27" x14ac:dyDescent="0.3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spans="1:27" x14ac:dyDescent="0.35">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spans="1:27" x14ac:dyDescent="0.35">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spans="1:27" x14ac:dyDescent="0.35">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spans="1:27" x14ac:dyDescent="0.35">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sheetData>
  <mergeCells count="1">
    <mergeCell ref="A1: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22F4-16CF-4CF4-85A0-18E0B77CC126}">
  <dimension ref="A1:AI82"/>
  <sheetViews>
    <sheetView tabSelected="1" zoomScale="65" zoomScaleNormal="55" workbookViewId="0">
      <selection activeCell="R22" sqref="R22"/>
    </sheetView>
  </sheetViews>
  <sheetFormatPr defaultRowHeight="14.5" x14ac:dyDescent="0.35"/>
  <cols>
    <col min="2" max="2" width="4.90625" bestFit="1" customWidth="1"/>
    <col min="3" max="3" width="17.6328125" bestFit="1" customWidth="1"/>
    <col min="4" max="5" width="11.36328125" bestFit="1" customWidth="1"/>
    <col min="6" max="6" width="15.453125" customWidth="1"/>
    <col min="7" max="7" width="11.1796875" bestFit="1" customWidth="1"/>
    <col min="8" max="8" width="19.08984375" bestFit="1" customWidth="1"/>
    <col min="9" max="9" width="12.1796875" bestFit="1" customWidth="1"/>
    <col min="10" max="11" width="13.453125" bestFit="1" customWidth="1"/>
    <col min="12" max="12" width="12" bestFit="1" customWidth="1"/>
    <col min="13" max="13" width="6" bestFit="1" customWidth="1"/>
    <col min="14" max="14" width="5.7265625" bestFit="1" customWidth="1"/>
    <col min="15" max="15" width="15.81640625" bestFit="1" customWidth="1"/>
    <col min="16" max="16" width="11.1796875" bestFit="1" customWidth="1"/>
    <col min="17" max="17" width="11.6328125" customWidth="1"/>
    <col min="18" max="18" width="70.36328125" bestFit="1" customWidth="1"/>
    <col min="19" max="19" width="11.6328125" bestFit="1" customWidth="1"/>
    <col min="20" max="20" width="8.7265625" customWidth="1"/>
    <col min="21" max="21" width="11.7265625" customWidth="1"/>
    <col min="23" max="23" width="9.1796875" bestFit="1" customWidth="1"/>
    <col min="24" max="24" width="14.81640625" bestFit="1" customWidth="1"/>
    <col min="26" max="26" width="12.36328125" customWidth="1"/>
    <col min="27" max="27" width="11.6328125" bestFit="1" customWidth="1"/>
  </cols>
  <sheetData>
    <row r="1" spans="1:35" ht="15" thickBot="1" x14ac:dyDescent="0.4">
      <c r="A1" s="152"/>
      <c r="B1" s="199" t="s">
        <v>1751</v>
      </c>
      <c r="C1" s="153"/>
      <c r="D1" s="153"/>
      <c r="E1" s="153"/>
      <c r="F1" s="153"/>
      <c r="G1" s="153"/>
      <c r="H1" s="153"/>
      <c r="I1" s="153"/>
      <c r="J1" s="153"/>
      <c r="K1" s="153"/>
      <c r="L1" s="153"/>
      <c r="M1" s="153"/>
      <c r="N1" s="153"/>
      <c r="O1" s="153"/>
      <c r="P1" s="200"/>
      <c r="Q1" s="154"/>
      <c r="R1" s="152"/>
      <c r="S1" s="194"/>
      <c r="T1" s="154"/>
      <c r="U1" s="152"/>
      <c r="V1" s="197" t="s">
        <v>1803</v>
      </c>
      <c r="W1" s="197"/>
      <c r="X1" s="197"/>
      <c r="Y1" s="197"/>
      <c r="Z1" s="197"/>
      <c r="AA1" s="197"/>
      <c r="AB1" s="197"/>
      <c r="AC1" s="197"/>
      <c r="AD1" s="197"/>
      <c r="AE1" s="197"/>
      <c r="AF1" s="194"/>
      <c r="AG1" s="154"/>
      <c r="AH1" s="154"/>
      <c r="AI1" s="194"/>
    </row>
    <row r="2" spans="1:35" x14ac:dyDescent="0.35">
      <c r="A2" s="155"/>
      <c r="B2" s="201"/>
      <c r="C2" s="121"/>
      <c r="D2" s="121"/>
      <c r="E2" s="121"/>
      <c r="F2" s="121"/>
      <c r="G2" s="121"/>
      <c r="H2" s="121"/>
      <c r="I2" s="121"/>
      <c r="J2" s="121"/>
      <c r="K2" s="121"/>
      <c r="L2" s="121"/>
      <c r="M2" s="121"/>
      <c r="N2" s="121"/>
      <c r="O2" s="121"/>
      <c r="P2" s="202"/>
      <c r="Q2" s="156"/>
      <c r="R2" s="131" t="s">
        <v>1755</v>
      </c>
      <c r="S2" s="132"/>
      <c r="T2" s="156"/>
      <c r="U2" s="155"/>
      <c r="V2" s="198"/>
      <c r="W2" s="198"/>
      <c r="X2" s="198"/>
      <c r="Y2" s="198"/>
      <c r="Z2" s="198"/>
      <c r="AA2" s="198"/>
      <c r="AB2" s="198"/>
      <c r="AC2" s="198"/>
      <c r="AD2" s="198"/>
      <c r="AE2" s="198"/>
      <c r="AF2" s="195"/>
      <c r="AG2" s="156"/>
      <c r="AH2" s="156"/>
      <c r="AI2" s="195"/>
    </row>
    <row r="3" spans="1:35" ht="15" thickBot="1" x14ac:dyDescent="0.4">
      <c r="A3" s="155"/>
      <c r="B3" s="201"/>
      <c r="C3" s="121"/>
      <c r="D3" s="121"/>
      <c r="E3" s="121"/>
      <c r="F3" s="121"/>
      <c r="G3" s="121"/>
      <c r="H3" s="121"/>
      <c r="I3" s="121"/>
      <c r="J3" s="121"/>
      <c r="K3" s="121"/>
      <c r="L3" s="121"/>
      <c r="M3" s="121"/>
      <c r="N3" s="121"/>
      <c r="O3" s="121"/>
      <c r="P3" s="202"/>
      <c r="Q3" s="156"/>
      <c r="R3" s="133"/>
      <c r="S3" s="134"/>
      <c r="T3" s="156"/>
      <c r="U3" s="155"/>
      <c r="V3" s="198"/>
      <c r="W3" s="198"/>
      <c r="X3" s="198"/>
      <c r="Y3" s="198"/>
      <c r="Z3" s="198"/>
      <c r="AA3" s="198"/>
      <c r="AB3" s="198"/>
      <c r="AC3" s="198"/>
      <c r="AD3" s="198"/>
      <c r="AE3" s="198"/>
      <c r="AF3" s="195"/>
      <c r="AG3" s="156"/>
      <c r="AH3" s="156"/>
      <c r="AI3" s="195"/>
    </row>
    <row r="4" spans="1:35" ht="15" thickBot="1" x14ac:dyDescent="0.4">
      <c r="A4" s="155"/>
      <c r="B4" s="155"/>
      <c r="C4" s="156"/>
      <c r="D4" s="156"/>
      <c r="E4" s="156"/>
      <c r="F4" s="156"/>
      <c r="G4" s="156"/>
      <c r="H4" s="156"/>
      <c r="I4" s="156"/>
      <c r="J4" s="156"/>
      <c r="K4" s="156"/>
      <c r="L4" s="156"/>
      <c r="M4" s="156"/>
      <c r="N4" s="156"/>
      <c r="O4" s="156"/>
      <c r="P4" s="195"/>
      <c r="Q4" s="156"/>
      <c r="R4" s="155"/>
      <c r="S4" s="195"/>
      <c r="T4" s="156"/>
      <c r="U4" s="155"/>
      <c r="V4" s="156"/>
      <c r="W4" s="156"/>
      <c r="X4" s="156"/>
      <c r="Y4" s="156"/>
      <c r="Z4" s="165"/>
      <c r="AA4" s="156"/>
      <c r="AB4" s="156"/>
      <c r="AC4" s="156"/>
      <c r="AD4" s="156"/>
      <c r="AE4" s="156"/>
      <c r="AF4" s="195"/>
      <c r="AG4" s="156"/>
      <c r="AH4" s="156"/>
      <c r="AI4" s="195"/>
    </row>
    <row r="5" spans="1:35" x14ac:dyDescent="0.35">
      <c r="A5" s="155"/>
      <c r="B5" s="113" t="s">
        <v>1733</v>
      </c>
      <c r="C5" s="114"/>
      <c r="D5" s="117">
        <f>SUM(CleanData!R:R)</f>
        <v>129357.01609999998</v>
      </c>
      <c r="E5" s="118"/>
      <c r="F5" s="156"/>
      <c r="G5" s="156"/>
      <c r="H5" s="113" t="s">
        <v>1737</v>
      </c>
      <c r="I5" s="114"/>
      <c r="J5" s="117">
        <f>SUM(CleanData!U:U)/SUM(CleanData!R:R)</f>
        <v>4.1286063647845719E-2</v>
      </c>
      <c r="K5" s="118"/>
      <c r="L5" s="156"/>
      <c r="M5" s="156"/>
      <c r="N5" s="156"/>
      <c r="O5" s="156"/>
      <c r="P5" s="195"/>
      <c r="Q5" s="156"/>
      <c r="R5" s="3" t="s">
        <v>1721</v>
      </c>
      <c r="S5" s="4" t="s">
        <v>1723</v>
      </c>
      <c r="T5" s="156"/>
      <c r="U5" s="155"/>
      <c r="V5" s="167" t="s">
        <v>1785</v>
      </c>
      <c r="W5" s="168"/>
      <c r="X5" s="168"/>
      <c r="Y5" s="169"/>
      <c r="Z5" s="165"/>
      <c r="AA5" s="156"/>
      <c r="AB5" s="167" t="s">
        <v>1788</v>
      </c>
      <c r="AC5" s="168"/>
      <c r="AD5" s="168"/>
      <c r="AE5" s="169"/>
      <c r="AF5" s="195"/>
      <c r="AG5" s="156"/>
      <c r="AH5" s="156"/>
      <c r="AI5" s="195"/>
    </row>
    <row r="6" spans="1:35" ht="15" thickBot="1" x14ac:dyDescent="0.4">
      <c r="A6" s="155"/>
      <c r="B6" s="115"/>
      <c r="C6" s="116"/>
      <c r="D6" s="119"/>
      <c r="E6" s="120"/>
      <c r="F6" s="156"/>
      <c r="G6" s="156"/>
      <c r="H6" s="115"/>
      <c r="I6" s="116"/>
      <c r="J6" s="119"/>
      <c r="K6" s="120"/>
      <c r="L6" s="156"/>
      <c r="M6" s="156"/>
      <c r="N6" s="156"/>
      <c r="O6" s="156"/>
      <c r="P6" s="195"/>
      <c r="Q6" s="156"/>
      <c r="R6" s="5" t="s">
        <v>684</v>
      </c>
      <c r="S6" s="6">
        <v>11219.934000000001</v>
      </c>
      <c r="T6" s="156"/>
      <c r="U6" s="155"/>
      <c r="V6" s="170"/>
      <c r="W6" s="171"/>
      <c r="X6" s="171"/>
      <c r="Y6" s="172"/>
      <c r="Z6" s="165"/>
      <c r="AA6" s="156"/>
      <c r="AB6" s="170"/>
      <c r="AC6" s="171"/>
      <c r="AD6" s="171"/>
      <c r="AE6" s="172"/>
      <c r="AF6" s="195"/>
      <c r="AG6" s="156"/>
      <c r="AH6" s="156"/>
      <c r="AI6" s="195"/>
    </row>
    <row r="7" spans="1:35" ht="15" thickBot="1" x14ac:dyDescent="0.4">
      <c r="A7" s="155"/>
      <c r="B7" s="203"/>
      <c r="C7" s="45"/>
      <c r="D7" s="45"/>
      <c r="E7" s="45"/>
      <c r="F7" s="156"/>
      <c r="G7" s="156"/>
      <c r="H7" s="45"/>
      <c r="I7" s="45"/>
      <c r="J7" s="45"/>
      <c r="K7" s="45"/>
      <c r="L7" s="156"/>
      <c r="M7" s="156"/>
      <c r="N7" s="156"/>
      <c r="O7" s="156"/>
      <c r="P7" s="195"/>
      <c r="Q7" s="156"/>
      <c r="R7" s="5" t="s">
        <v>166</v>
      </c>
      <c r="S7" s="6">
        <v>5479.6956</v>
      </c>
      <c r="T7" s="156"/>
      <c r="U7" s="155"/>
      <c r="V7" s="156"/>
      <c r="W7" s="156"/>
      <c r="X7" s="156"/>
      <c r="Y7" s="156"/>
      <c r="Z7" s="165"/>
      <c r="AA7" s="156"/>
      <c r="AB7" s="156"/>
      <c r="AC7" s="156"/>
      <c r="AD7" s="156"/>
      <c r="AE7" s="156"/>
      <c r="AF7" s="195"/>
      <c r="AG7" s="156"/>
      <c r="AH7" s="156"/>
      <c r="AI7" s="195"/>
    </row>
    <row r="8" spans="1:35" ht="18.5" customHeight="1" x14ac:dyDescent="0.35">
      <c r="A8" s="155"/>
      <c r="B8" s="113" t="s">
        <v>1734</v>
      </c>
      <c r="C8" s="114"/>
      <c r="D8" s="117">
        <f>SUM(CleanData!U:U)</f>
        <v>5340.6420000000026</v>
      </c>
      <c r="E8" s="118"/>
      <c r="F8" s="156"/>
      <c r="G8" s="156"/>
      <c r="H8" s="113" t="s">
        <v>1738</v>
      </c>
      <c r="I8" s="114"/>
      <c r="J8" s="117">
        <f>VLOOKUP(O8, CleanData!B:Z, 17, FALSE)</f>
        <v>665.88</v>
      </c>
      <c r="K8" s="118"/>
      <c r="L8" s="156"/>
      <c r="M8" s="112" t="s">
        <v>1</v>
      </c>
      <c r="N8" s="112"/>
      <c r="O8" s="112" t="s">
        <v>109</v>
      </c>
      <c r="P8" s="204"/>
      <c r="Q8" s="156"/>
      <c r="R8" s="5" t="s">
        <v>1258</v>
      </c>
      <c r="S8" s="6">
        <v>4355.1679999999997</v>
      </c>
      <c r="T8" s="156"/>
      <c r="U8" s="155"/>
      <c r="V8" s="156"/>
      <c r="W8" s="173" t="s">
        <v>18</v>
      </c>
      <c r="X8" s="174">
        <v>25</v>
      </c>
      <c r="Y8" s="156"/>
      <c r="Z8" s="165"/>
      <c r="AA8" s="156"/>
      <c r="AB8" s="156"/>
      <c r="AC8" s="173" t="s">
        <v>18</v>
      </c>
      <c r="AD8" s="174">
        <v>10</v>
      </c>
      <c r="AE8" s="156"/>
      <c r="AF8" s="195"/>
      <c r="AG8" s="156"/>
      <c r="AH8" s="156"/>
      <c r="AI8" s="195"/>
    </row>
    <row r="9" spans="1:35" ht="15" thickBot="1" x14ac:dyDescent="0.4">
      <c r="A9" s="155"/>
      <c r="B9" s="115"/>
      <c r="C9" s="116"/>
      <c r="D9" s="119"/>
      <c r="E9" s="120"/>
      <c r="F9" s="156"/>
      <c r="G9" s="156"/>
      <c r="H9" s="115"/>
      <c r="I9" s="116"/>
      <c r="J9" s="119"/>
      <c r="K9" s="120"/>
      <c r="L9" s="156"/>
      <c r="M9" s="156"/>
      <c r="N9" s="156"/>
      <c r="O9" s="156"/>
      <c r="P9" s="195"/>
      <c r="Q9" s="156"/>
      <c r="R9" s="5" t="s">
        <v>1169</v>
      </c>
      <c r="S9" s="6">
        <v>3991.98</v>
      </c>
      <c r="T9" s="156"/>
      <c r="U9" s="155"/>
      <c r="V9" s="156"/>
      <c r="W9" s="175" t="s">
        <v>1786</v>
      </c>
      <c r="X9" s="176">
        <v>200</v>
      </c>
      <c r="Y9" s="156"/>
      <c r="Z9" s="165"/>
      <c r="AA9" s="156"/>
      <c r="AB9" s="156"/>
      <c r="AC9" s="175" t="s">
        <v>1786</v>
      </c>
      <c r="AD9" s="176">
        <v>500</v>
      </c>
      <c r="AE9" s="156"/>
      <c r="AF9" s="195"/>
      <c r="AG9" s="156"/>
      <c r="AH9" s="156"/>
      <c r="AI9" s="195"/>
    </row>
    <row r="10" spans="1:35" ht="15" thickBot="1" x14ac:dyDescent="0.4">
      <c r="A10" s="155"/>
      <c r="B10" s="203"/>
      <c r="C10" s="45"/>
      <c r="D10" s="45"/>
      <c r="E10" s="45"/>
      <c r="F10" s="156"/>
      <c r="G10" s="156"/>
      <c r="H10" s="156"/>
      <c r="I10" s="156"/>
      <c r="J10" s="156"/>
      <c r="K10" s="156"/>
      <c r="L10" s="156"/>
      <c r="M10" s="156"/>
      <c r="N10" s="156"/>
      <c r="O10" s="156"/>
      <c r="P10" s="195"/>
      <c r="Q10" s="156"/>
      <c r="R10" s="5" t="s">
        <v>909</v>
      </c>
      <c r="S10" s="6">
        <v>3965.346</v>
      </c>
      <c r="T10" s="156"/>
      <c r="U10" s="155"/>
      <c r="V10" s="156"/>
      <c r="W10" s="177" t="s">
        <v>1787</v>
      </c>
      <c r="X10" s="178">
        <f>X8*X9</f>
        <v>5000</v>
      </c>
      <c r="Y10" s="156"/>
      <c r="Z10" s="165"/>
      <c r="AA10" s="156"/>
      <c r="AB10" s="156"/>
      <c r="AC10" s="177" t="s">
        <v>1787</v>
      </c>
      <c r="AD10" s="178">
        <f>AD8*AD9</f>
        <v>5000</v>
      </c>
      <c r="AE10" s="156"/>
      <c r="AF10" s="195"/>
      <c r="AG10" s="156"/>
      <c r="AH10" s="156"/>
      <c r="AI10" s="195"/>
    </row>
    <row r="11" spans="1:35" x14ac:dyDescent="0.35">
      <c r="A11" s="155"/>
      <c r="B11" s="113" t="s">
        <v>1735</v>
      </c>
      <c r="C11" s="114"/>
      <c r="D11" s="117">
        <f>AVERAGE(CleanData!R2:R500)</f>
        <v>259.23249719438871</v>
      </c>
      <c r="E11" s="118"/>
      <c r="F11" s="156"/>
      <c r="G11" s="156"/>
      <c r="H11" s="113" t="s">
        <v>1739</v>
      </c>
      <c r="I11" s="114"/>
      <c r="J11" s="117" t="str">
        <f>INDEX(CleanData!E:E, MATCH(O8, CleanData!B:B, 0))</f>
        <v>Standard Class</v>
      </c>
      <c r="K11" s="118"/>
      <c r="L11" s="156"/>
      <c r="M11" s="156"/>
      <c r="N11" s="156"/>
      <c r="O11" s="156"/>
      <c r="P11" s="195"/>
      <c r="Q11" s="156"/>
      <c r="R11" s="5" t="s">
        <v>533</v>
      </c>
      <c r="S11" s="6">
        <v>3059.9859999999999</v>
      </c>
      <c r="T11" s="156"/>
      <c r="U11" s="155"/>
      <c r="V11" s="156"/>
      <c r="W11" s="156"/>
      <c r="X11" s="156"/>
      <c r="Y11" s="156"/>
      <c r="Z11" s="165"/>
      <c r="AA11" s="156"/>
      <c r="AB11" s="156"/>
      <c r="AC11" s="156"/>
      <c r="AD11" s="156"/>
      <c r="AE11" s="156"/>
      <c r="AF11" s="195"/>
      <c r="AG11" s="156"/>
      <c r="AH11" s="156"/>
      <c r="AI11" s="195"/>
    </row>
    <row r="12" spans="1:35" ht="15" thickBot="1" x14ac:dyDescent="0.4">
      <c r="A12" s="155"/>
      <c r="B12" s="115"/>
      <c r="C12" s="116"/>
      <c r="D12" s="119"/>
      <c r="E12" s="120"/>
      <c r="F12" s="156"/>
      <c r="G12" s="156"/>
      <c r="H12" s="115"/>
      <c r="I12" s="116"/>
      <c r="J12" s="119"/>
      <c r="K12" s="120"/>
      <c r="L12" s="156"/>
      <c r="M12" s="156"/>
      <c r="N12" s="156"/>
      <c r="O12" s="156"/>
      <c r="P12" s="195"/>
      <c r="Q12" s="156"/>
      <c r="R12" s="5" t="s">
        <v>1681</v>
      </c>
      <c r="S12" s="6">
        <v>2735.9520000000002</v>
      </c>
      <c r="T12" s="156"/>
      <c r="U12" s="155"/>
      <c r="V12" s="156"/>
      <c r="W12" s="156"/>
      <c r="X12" s="156"/>
      <c r="Y12" s="156"/>
      <c r="Z12" s="165"/>
      <c r="AA12" s="156"/>
      <c r="AB12" s="156"/>
      <c r="AC12" s="156"/>
      <c r="AD12" s="156"/>
      <c r="AE12" s="156"/>
      <c r="AF12" s="195"/>
      <c r="AG12" s="156"/>
      <c r="AH12" s="156"/>
      <c r="AI12" s="195"/>
    </row>
    <row r="13" spans="1:35" ht="15" thickBot="1" x14ac:dyDescent="0.4">
      <c r="A13" s="155"/>
      <c r="B13" s="203"/>
      <c r="C13" s="45"/>
      <c r="D13" s="45"/>
      <c r="E13" s="45"/>
      <c r="F13" s="156"/>
      <c r="G13" s="156"/>
      <c r="H13" s="46"/>
      <c r="I13" s="46"/>
      <c r="J13" s="46"/>
      <c r="K13" s="46"/>
      <c r="L13" s="156"/>
      <c r="M13" s="156"/>
      <c r="N13" s="156"/>
      <c r="O13" s="156"/>
      <c r="P13" s="195"/>
      <c r="Q13" s="156"/>
      <c r="R13" s="5" t="s">
        <v>36</v>
      </c>
      <c r="S13" s="6">
        <v>2683.7799999999997</v>
      </c>
      <c r="T13" s="156"/>
      <c r="U13" s="155"/>
      <c r="V13" s="156"/>
      <c r="W13" s="156"/>
      <c r="X13" s="156"/>
      <c r="Y13" s="156"/>
      <c r="Z13" s="165"/>
      <c r="AA13" s="156"/>
      <c r="AB13" s="156"/>
      <c r="AC13" s="156"/>
      <c r="AD13" s="156"/>
      <c r="AE13" s="156"/>
      <c r="AF13" s="195"/>
      <c r="AG13" s="156"/>
      <c r="AH13" s="156"/>
      <c r="AI13" s="195"/>
    </row>
    <row r="14" spans="1:35" ht="14.5" customHeight="1" x14ac:dyDescent="0.35">
      <c r="A14" s="155"/>
      <c r="B14" s="113" t="s">
        <v>1736</v>
      </c>
      <c r="C14" s="114"/>
      <c r="D14" s="117">
        <f>COUNTA(CleanData!B:B)</f>
        <v>500</v>
      </c>
      <c r="E14" s="118"/>
      <c r="F14" s="156"/>
      <c r="G14" s="156"/>
      <c r="H14" s="113" t="s">
        <v>1740</v>
      </c>
      <c r="I14" s="114"/>
      <c r="J14" s="117" t="str">
        <f>IF(CleanData!R:R&gt;500,"High","Low")</f>
        <v>Low</v>
      </c>
      <c r="K14" s="118"/>
      <c r="L14" s="156"/>
      <c r="M14" s="156"/>
      <c r="N14" s="156"/>
      <c r="O14" s="156"/>
      <c r="P14" s="195"/>
      <c r="Q14" s="156"/>
      <c r="R14" s="5" t="s">
        <v>984</v>
      </c>
      <c r="S14" s="6">
        <v>2519.9580000000001</v>
      </c>
      <c r="T14" s="156"/>
      <c r="U14" s="155"/>
      <c r="V14" s="156"/>
      <c r="W14" s="156"/>
      <c r="X14" s="156"/>
      <c r="Y14" s="156"/>
      <c r="Z14" s="165"/>
      <c r="AA14" s="156"/>
      <c r="AB14" s="156"/>
      <c r="AC14" s="156"/>
      <c r="AD14" s="156"/>
      <c r="AE14" s="156"/>
      <c r="AF14" s="195"/>
      <c r="AG14" s="156"/>
      <c r="AH14" s="156"/>
      <c r="AI14" s="195"/>
    </row>
    <row r="15" spans="1:35" ht="15" customHeight="1" thickBot="1" x14ac:dyDescent="0.4">
      <c r="A15" s="155"/>
      <c r="B15" s="115"/>
      <c r="C15" s="116"/>
      <c r="D15" s="119"/>
      <c r="E15" s="120"/>
      <c r="F15" s="156"/>
      <c r="G15" s="156"/>
      <c r="H15" s="115"/>
      <c r="I15" s="116"/>
      <c r="J15" s="119"/>
      <c r="K15" s="120"/>
      <c r="L15" s="156"/>
      <c r="M15" s="156"/>
      <c r="N15" s="156"/>
      <c r="O15" s="156"/>
      <c r="P15" s="195"/>
      <c r="Q15" s="156"/>
      <c r="R15" s="5" t="s">
        <v>201</v>
      </c>
      <c r="S15" s="6">
        <v>2202.6711999999998</v>
      </c>
      <c r="T15" s="156"/>
      <c r="U15" s="155"/>
      <c r="V15" s="156"/>
      <c r="W15" s="156"/>
      <c r="X15" s="156"/>
      <c r="Y15" s="156"/>
      <c r="Z15" s="165"/>
      <c r="AA15" s="156"/>
      <c r="AB15" s="156"/>
      <c r="AC15" s="156"/>
      <c r="AD15" s="156"/>
      <c r="AE15" s="156"/>
      <c r="AF15" s="195"/>
      <c r="AG15" s="156"/>
      <c r="AH15" s="156"/>
      <c r="AI15" s="195"/>
    </row>
    <row r="16" spans="1:35" ht="15" thickBot="1" x14ac:dyDescent="0.4">
      <c r="A16" s="155"/>
      <c r="B16" s="157"/>
      <c r="C16" s="158"/>
      <c r="D16" s="158"/>
      <c r="E16" s="158"/>
      <c r="F16" s="158"/>
      <c r="G16" s="158"/>
      <c r="H16" s="158"/>
      <c r="I16" s="158"/>
      <c r="J16" s="158"/>
      <c r="K16" s="158"/>
      <c r="L16" s="158"/>
      <c r="M16" s="158"/>
      <c r="N16" s="158"/>
      <c r="O16" s="158"/>
      <c r="P16" s="196"/>
      <c r="Q16" s="156"/>
      <c r="R16" s="7" t="s">
        <v>1722</v>
      </c>
      <c r="S16" s="8">
        <v>42214.470799999996</v>
      </c>
      <c r="T16" s="156"/>
      <c r="U16" s="155"/>
      <c r="V16" s="156"/>
      <c r="W16" s="156"/>
      <c r="X16" s="156"/>
      <c r="Y16" s="156"/>
      <c r="Z16" s="165"/>
      <c r="AA16" s="156"/>
      <c r="AB16" s="156"/>
      <c r="AC16" s="156"/>
      <c r="AD16" s="156"/>
      <c r="AE16" s="156"/>
      <c r="AF16" s="195"/>
      <c r="AG16" s="156"/>
      <c r="AH16" s="156"/>
      <c r="AI16" s="195"/>
    </row>
    <row r="17" spans="1:35" ht="15" thickBot="1" x14ac:dyDescent="0.4">
      <c r="A17" s="155"/>
      <c r="B17" s="156"/>
      <c r="C17" s="156"/>
      <c r="D17" s="156"/>
      <c r="E17" s="156"/>
      <c r="F17" s="156"/>
      <c r="G17" s="156"/>
      <c r="H17" s="156"/>
      <c r="I17" s="156"/>
      <c r="J17" s="156"/>
      <c r="K17" s="156"/>
      <c r="L17" s="156"/>
      <c r="M17" s="156"/>
      <c r="N17" s="156"/>
      <c r="O17" s="156"/>
      <c r="P17" s="156"/>
      <c r="Q17" s="156"/>
      <c r="R17" s="156"/>
      <c r="S17" s="156"/>
      <c r="T17" s="156"/>
      <c r="U17" s="157"/>
      <c r="V17" s="158"/>
      <c r="W17" s="158"/>
      <c r="X17" s="158"/>
      <c r="Y17" s="158"/>
      <c r="Z17" s="166"/>
      <c r="AA17" s="158"/>
      <c r="AB17" s="158"/>
      <c r="AC17" s="158"/>
      <c r="AD17" s="158"/>
      <c r="AE17" s="158"/>
      <c r="AF17" s="196"/>
      <c r="AG17" s="156"/>
      <c r="AH17" s="156"/>
      <c r="AI17" s="195"/>
    </row>
    <row r="18" spans="1:35" x14ac:dyDescent="0.35">
      <c r="A18" s="155"/>
      <c r="B18" s="122" t="s">
        <v>1752</v>
      </c>
      <c r="C18" s="123"/>
      <c r="D18" s="123"/>
      <c r="E18" s="123"/>
      <c r="F18" s="123"/>
      <c r="G18" s="123"/>
      <c r="H18" s="123"/>
      <c r="I18" s="123"/>
      <c r="J18" s="123"/>
      <c r="K18" s="123"/>
      <c r="L18" s="123"/>
      <c r="M18" s="123"/>
      <c r="N18" s="123"/>
      <c r="O18" s="123"/>
      <c r="P18" s="123"/>
      <c r="Q18" s="124"/>
      <c r="R18" s="156"/>
      <c r="S18" s="156"/>
      <c r="T18" s="156"/>
      <c r="U18" s="156"/>
      <c r="V18" s="156"/>
      <c r="W18" s="156"/>
      <c r="X18" s="156"/>
      <c r="Y18" s="156"/>
      <c r="Z18" s="165"/>
      <c r="AA18" s="156"/>
      <c r="AB18" s="156"/>
      <c r="AC18" s="156"/>
      <c r="AD18" s="156"/>
      <c r="AE18" s="156"/>
      <c r="AF18" s="156"/>
      <c r="AG18" s="156"/>
      <c r="AH18" s="156"/>
      <c r="AI18" s="195"/>
    </row>
    <row r="19" spans="1:35" x14ac:dyDescent="0.35">
      <c r="A19" s="155"/>
      <c r="B19" s="125"/>
      <c r="C19" s="126"/>
      <c r="D19" s="126"/>
      <c r="E19" s="126"/>
      <c r="F19" s="126"/>
      <c r="G19" s="126"/>
      <c r="H19" s="126"/>
      <c r="I19" s="126"/>
      <c r="J19" s="126"/>
      <c r="K19" s="126"/>
      <c r="L19" s="126"/>
      <c r="M19" s="126"/>
      <c r="N19" s="126"/>
      <c r="O19" s="126"/>
      <c r="P19" s="126"/>
      <c r="Q19" s="127"/>
      <c r="R19" s="156"/>
      <c r="S19" s="156"/>
      <c r="T19" s="156"/>
      <c r="U19" s="156"/>
      <c r="V19" s="156"/>
      <c r="W19" s="156"/>
      <c r="X19" s="156"/>
      <c r="Y19" s="156"/>
      <c r="Z19" s="165"/>
      <c r="AA19" s="156"/>
      <c r="AB19" s="156"/>
      <c r="AC19" s="156"/>
      <c r="AD19" s="156"/>
      <c r="AE19" s="156"/>
      <c r="AF19" s="156"/>
      <c r="AG19" s="156"/>
      <c r="AH19" s="156"/>
      <c r="AI19" s="195"/>
    </row>
    <row r="20" spans="1:35" ht="15" thickBot="1" x14ac:dyDescent="0.4">
      <c r="A20" s="155"/>
      <c r="B20" s="128"/>
      <c r="C20" s="129"/>
      <c r="D20" s="129"/>
      <c r="E20" s="129"/>
      <c r="F20" s="129"/>
      <c r="G20" s="129"/>
      <c r="H20" s="129"/>
      <c r="I20" s="129"/>
      <c r="J20" s="129"/>
      <c r="K20" s="129"/>
      <c r="L20" s="129"/>
      <c r="M20" s="129"/>
      <c r="N20" s="129"/>
      <c r="O20" s="129"/>
      <c r="P20" s="129"/>
      <c r="Q20" s="130"/>
      <c r="R20" s="156"/>
      <c r="S20" s="156"/>
      <c r="T20" s="156"/>
      <c r="U20" s="156"/>
      <c r="V20" s="156"/>
      <c r="W20" s="156"/>
      <c r="X20" s="156"/>
      <c r="Y20" s="156"/>
      <c r="Z20" s="165"/>
      <c r="AA20" s="156"/>
      <c r="AB20" s="156"/>
      <c r="AC20" s="156"/>
      <c r="AD20" s="156"/>
      <c r="AE20" s="156"/>
      <c r="AF20" s="156"/>
      <c r="AG20" s="156"/>
      <c r="AH20" s="156"/>
      <c r="AI20" s="195"/>
    </row>
    <row r="21" spans="1:35" x14ac:dyDescent="0.35">
      <c r="A21" s="155"/>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65"/>
      <c r="AA21" s="156"/>
      <c r="AB21" s="156"/>
      <c r="AC21" s="156"/>
      <c r="AD21" s="156"/>
      <c r="AE21" s="156"/>
      <c r="AF21" s="156"/>
      <c r="AG21" s="156"/>
      <c r="AH21" s="156"/>
      <c r="AI21" s="195"/>
    </row>
    <row r="22" spans="1:35" ht="15" thickBot="1" x14ac:dyDescent="0.4">
      <c r="A22" s="155"/>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65"/>
      <c r="AA22" s="156"/>
      <c r="AB22" s="156"/>
      <c r="AC22" s="156"/>
      <c r="AD22" s="156"/>
      <c r="AE22" s="156"/>
      <c r="AF22" s="156"/>
      <c r="AG22" s="156"/>
      <c r="AH22" s="156"/>
      <c r="AI22" s="195"/>
    </row>
    <row r="23" spans="1:35" x14ac:dyDescent="0.35">
      <c r="A23" s="155"/>
      <c r="B23" s="139">
        <v>8</v>
      </c>
      <c r="C23" s="140" t="s">
        <v>60</v>
      </c>
      <c r="D23" s="141">
        <v>41799</v>
      </c>
      <c r="E23" s="141">
        <v>41804</v>
      </c>
      <c r="F23" s="140" t="s">
        <v>49</v>
      </c>
      <c r="G23" s="140" t="s">
        <v>61</v>
      </c>
      <c r="H23" s="140" t="s">
        <v>62</v>
      </c>
      <c r="I23" s="140" t="s">
        <v>25</v>
      </c>
      <c r="J23" s="140" t="s">
        <v>26</v>
      </c>
      <c r="K23" s="140" t="s">
        <v>41</v>
      </c>
      <c r="L23" s="140" t="s">
        <v>42</v>
      </c>
      <c r="M23" s="140">
        <v>90032</v>
      </c>
      <c r="N23" s="140" t="s">
        <v>43</v>
      </c>
      <c r="O23" s="140" t="s">
        <v>69</v>
      </c>
      <c r="P23" s="140" t="s">
        <v>70</v>
      </c>
      <c r="Q23" s="140" t="s">
        <v>71</v>
      </c>
      <c r="R23" s="140" t="s">
        <v>72</v>
      </c>
      <c r="S23" s="140">
        <v>907.15200000000004</v>
      </c>
      <c r="T23" s="140">
        <v>6</v>
      </c>
      <c r="U23" s="140">
        <v>0.2</v>
      </c>
      <c r="V23" s="140">
        <v>90.715199999999996</v>
      </c>
      <c r="W23" s="140" t="s">
        <v>1753</v>
      </c>
      <c r="X23" s="142">
        <v>46152.605972337966</v>
      </c>
      <c r="Y23" s="156"/>
      <c r="Z23" s="165"/>
      <c r="AA23" s="156"/>
      <c r="AB23" s="156"/>
      <c r="AC23" s="156"/>
      <c r="AD23" s="156"/>
      <c r="AE23" s="156"/>
      <c r="AF23" s="156"/>
      <c r="AG23" s="156"/>
      <c r="AH23" s="156"/>
      <c r="AI23" s="195"/>
    </row>
    <row r="24" spans="1:35" x14ac:dyDescent="0.35">
      <c r="A24" s="155"/>
      <c r="B24" s="143">
        <v>12</v>
      </c>
      <c r="C24" s="137" t="s">
        <v>60</v>
      </c>
      <c r="D24" s="138">
        <v>41799</v>
      </c>
      <c r="E24" s="138">
        <v>41804</v>
      </c>
      <c r="F24" s="137" t="s">
        <v>49</v>
      </c>
      <c r="G24" s="137" t="s">
        <v>61</v>
      </c>
      <c r="H24" s="137" t="s">
        <v>62</v>
      </c>
      <c r="I24" s="137" t="s">
        <v>25</v>
      </c>
      <c r="J24" s="137" t="s">
        <v>26</v>
      </c>
      <c r="K24" s="137" t="s">
        <v>41</v>
      </c>
      <c r="L24" s="137" t="s">
        <v>42</v>
      </c>
      <c r="M24" s="137">
        <v>90032</v>
      </c>
      <c r="N24" s="137" t="s">
        <v>43</v>
      </c>
      <c r="O24" s="137" t="s">
        <v>81</v>
      </c>
      <c r="P24" s="137" t="s">
        <v>70</v>
      </c>
      <c r="Q24" s="137" t="s">
        <v>71</v>
      </c>
      <c r="R24" s="137" t="s">
        <v>82</v>
      </c>
      <c r="S24" s="137">
        <v>911.42399999999998</v>
      </c>
      <c r="T24" s="137">
        <v>4</v>
      </c>
      <c r="U24" s="137">
        <v>0.2</v>
      </c>
      <c r="V24" s="137">
        <v>68.356800000000007</v>
      </c>
      <c r="W24" s="137" t="s">
        <v>1753</v>
      </c>
      <c r="X24" s="144">
        <v>46152.605972337966</v>
      </c>
      <c r="Y24" s="156"/>
      <c r="Z24" s="165"/>
      <c r="AA24" s="156"/>
      <c r="AB24" s="156"/>
      <c r="AC24" s="156"/>
      <c r="AD24" s="156"/>
      <c r="AE24" s="156"/>
      <c r="AF24" s="156"/>
      <c r="AG24" s="156"/>
      <c r="AH24" s="156"/>
      <c r="AI24" s="195"/>
    </row>
    <row r="25" spans="1:35" x14ac:dyDescent="0.35">
      <c r="A25" s="155"/>
      <c r="B25" s="145">
        <v>20</v>
      </c>
      <c r="C25" s="135" t="s">
        <v>123</v>
      </c>
      <c r="D25" s="136">
        <v>41878</v>
      </c>
      <c r="E25" s="136">
        <v>41883</v>
      </c>
      <c r="F25" s="135" t="s">
        <v>22</v>
      </c>
      <c r="G25" s="135" t="s">
        <v>124</v>
      </c>
      <c r="H25" s="135" t="s">
        <v>125</v>
      </c>
      <c r="I25" s="135" t="s">
        <v>25</v>
      </c>
      <c r="J25" s="135" t="s">
        <v>26</v>
      </c>
      <c r="K25" s="135" t="s">
        <v>126</v>
      </c>
      <c r="L25" s="135" t="s">
        <v>42</v>
      </c>
      <c r="M25" s="135">
        <v>94109</v>
      </c>
      <c r="N25" s="135" t="s">
        <v>43</v>
      </c>
      <c r="O25" s="135" t="s">
        <v>129</v>
      </c>
      <c r="P25" s="135" t="s">
        <v>70</v>
      </c>
      <c r="Q25" s="135" t="s">
        <v>71</v>
      </c>
      <c r="R25" s="135" t="s">
        <v>130</v>
      </c>
      <c r="S25" s="135">
        <v>213.48</v>
      </c>
      <c r="T25" s="135">
        <v>3</v>
      </c>
      <c r="U25" s="135">
        <v>0.2</v>
      </c>
      <c r="V25" s="135">
        <v>16.010999999999999</v>
      </c>
      <c r="W25" s="135" t="s">
        <v>1754</v>
      </c>
      <c r="X25" s="146">
        <v>46152.605972337966</v>
      </c>
      <c r="Y25" s="156"/>
      <c r="Z25" s="165"/>
      <c r="AA25" s="156"/>
      <c r="AB25" s="156"/>
      <c r="AC25" s="156"/>
      <c r="AD25" s="156"/>
      <c r="AE25" s="156"/>
      <c r="AF25" s="156"/>
      <c r="AG25" s="156"/>
      <c r="AH25" s="156"/>
      <c r="AI25" s="195"/>
    </row>
    <row r="26" spans="1:35" x14ac:dyDescent="0.35">
      <c r="A26" s="155"/>
      <c r="B26" s="143">
        <v>27</v>
      </c>
      <c r="C26" s="137" t="s">
        <v>154</v>
      </c>
      <c r="D26" s="138">
        <v>42385</v>
      </c>
      <c r="E26" s="138">
        <v>42389</v>
      </c>
      <c r="F26" s="137" t="s">
        <v>22</v>
      </c>
      <c r="G26" s="137" t="s">
        <v>155</v>
      </c>
      <c r="H26" s="137" t="s">
        <v>156</v>
      </c>
      <c r="I26" s="137" t="s">
        <v>25</v>
      </c>
      <c r="J26" s="137" t="s">
        <v>26</v>
      </c>
      <c r="K26" s="137" t="s">
        <v>41</v>
      </c>
      <c r="L26" s="137" t="s">
        <v>42</v>
      </c>
      <c r="M26" s="137">
        <v>90049</v>
      </c>
      <c r="N26" s="137" t="s">
        <v>43</v>
      </c>
      <c r="O26" s="137" t="s">
        <v>159</v>
      </c>
      <c r="P26" s="137" t="s">
        <v>70</v>
      </c>
      <c r="Q26" s="137" t="s">
        <v>160</v>
      </c>
      <c r="R26" s="137" t="s">
        <v>161</v>
      </c>
      <c r="S26" s="137">
        <v>90.57</v>
      </c>
      <c r="T26" s="137">
        <v>3</v>
      </c>
      <c r="U26" s="137">
        <v>0</v>
      </c>
      <c r="V26" s="137">
        <v>11.774100000000001</v>
      </c>
      <c r="W26" s="137" t="s">
        <v>1754</v>
      </c>
      <c r="X26" s="144">
        <v>46152.605972337966</v>
      </c>
      <c r="Y26" s="156"/>
      <c r="Z26" s="165"/>
      <c r="AA26" s="156"/>
      <c r="AB26" s="156"/>
      <c r="AC26" s="156"/>
      <c r="AD26" s="156"/>
      <c r="AE26" s="156"/>
      <c r="AF26" s="156"/>
      <c r="AG26" s="156"/>
      <c r="AH26" s="156"/>
      <c r="AI26" s="195"/>
    </row>
    <row r="27" spans="1:35" x14ac:dyDescent="0.35">
      <c r="A27" s="155"/>
      <c r="B27" s="145">
        <v>63</v>
      </c>
      <c r="C27" s="135" t="s">
        <v>288</v>
      </c>
      <c r="D27" s="136">
        <v>42332</v>
      </c>
      <c r="E27" s="136">
        <v>42338</v>
      </c>
      <c r="F27" s="135" t="s">
        <v>49</v>
      </c>
      <c r="G27" s="135" t="s">
        <v>289</v>
      </c>
      <c r="H27" s="135" t="s">
        <v>290</v>
      </c>
      <c r="I27" s="135" t="s">
        <v>25</v>
      </c>
      <c r="J27" s="135" t="s">
        <v>26</v>
      </c>
      <c r="K27" s="135" t="s">
        <v>41</v>
      </c>
      <c r="L27" s="135" t="s">
        <v>42</v>
      </c>
      <c r="M27" s="135">
        <v>90004</v>
      </c>
      <c r="N27" s="135" t="s">
        <v>43</v>
      </c>
      <c r="O27" s="135" t="s">
        <v>291</v>
      </c>
      <c r="P27" s="135" t="s">
        <v>70</v>
      </c>
      <c r="Q27" s="135" t="s">
        <v>160</v>
      </c>
      <c r="R27" s="135" t="s">
        <v>292</v>
      </c>
      <c r="S27" s="135">
        <v>13.98</v>
      </c>
      <c r="T27" s="135">
        <v>2</v>
      </c>
      <c r="U27" s="135">
        <v>0</v>
      </c>
      <c r="V27" s="135">
        <v>6.1512000000000002</v>
      </c>
      <c r="W27" s="135" t="s">
        <v>1754</v>
      </c>
      <c r="X27" s="146">
        <v>46152.605972337966</v>
      </c>
      <c r="Y27" s="156"/>
      <c r="Z27" s="165"/>
      <c r="AA27" s="156"/>
      <c r="AB27" s="156"/>
      <c r="AC27" s="156"/>
      <c r="AD27" s="156"/>
      <c r="AE27" s="156"/>
      <c r="AF27" s="156"/>
      <c r="AG27" s="156"/>
      <c r="AH27" s="156"/>
      <c r="AI27" s="195"/>
    </row>
    <row r="28" spans="1:35" x14ac:dyDescent="0.35">
      <c r="A28" s="155"/>
      <c r="B28" s="143">
        <v>69</v>
      </c>
      <c r="C28" s="137" t="s">
        <v>305</v>
      </c>
      <c r="D28" s="138">
        <v>41978</v>
      </c>
      <c r="E28" s="138">
        <v>41983</v>
      </c>
      <c r="F28" s="137" t="s">
        <v>49</v>
      </c>
      <c r="G28" s="137" t="s">
        <v>306</v>
      </c>
      <c r="H28" s="137" t="s">
        <v>307</v>
      </c>
      <c r="I28" s="137" t="s">
        <v>40</v>
      </c>
      <c r="J28" s="137" t="s">
        <v>26</v>
      </c>
      <c r="K28" s="137" t="s">
        <v>308</v>
      </c>
      <c r="L28" s="137" t="s">
        <v>309</v>
      </c>
      <c r="M28" s="137">
        <v>85234</v>
      </c>
      <c r="N28" s="137" t="s">
        <v>43</v>
      </c>
      <c r="O28" s="137" t="s">
        <v>312</v>
      </c>
      <c r="P28" s="137" t="s">
        <v>70</v>
      </c>
      <c r="Q28" s="137" t="s">
        <v>71</v>
      </c>
      <c r="R28" s="137" t="s">
        <v>313</v>
      </c>
      <c r="S28" s="137">
        <v>167.96799999999999</v>
      </c>
      <c r="T28" s="137">
        <v>4</v>
      </c>
      <c r="U28" s="137">
        <v>0.2</v>
      </c>
      <c r="V28" s="137">
        <v>62.988</v>
      </c>
      <c r="W28" s="137" t="s">
        <v>1754</v>
      </c>
      <c r="X28" s="144">
        <v>46152.605972337966</v>
      </c>
      <c r="Y28" s="156"/>
      <c r="Z28" s="165"/>
      <c r="AA28" s="156"/>
      <c r="AB28" s="156"/>
      <c r="AC28" s="156"/>
      <c r="AD28" s="156"/>
      <c r="AE28" s="156"/>
      <c r="AF28" s="156"/>
      <c r="AG28" s="156"/>
      <c r="AH28" s="156"/>
      <c r="AI28" s="195"/>
    </row>
    <row r="29" spans="1:35" x14ac:dyDescent="0.35">
      <c r="A29" s="155"/>
      <c r="B29" s="145">
        <v>91</v>
      </c>
      <c r="C29" s="135" t="s">
        <v>398</v>
      </c>
      <c r="D29" s="136">
        <v>42630</v>
      </c>
      <c r="E29" s="136">
        <v>42635</v>
      </c>
      <c r="F29" s="135" t="s">
        <v>49</v>
      </c>
      <c r="G29" s="135" t="s">
        <v>399</v>
      </c>
      <c r="H29" s="135" t="s">
        <v>400</v>
      </c>
      <c r="I29" s="135" t="s">
        <v>40</v>
      </c>
      <c r="J29" s="135" t="s">
        <v>26</v>
      </c>
      <c r="K29" s="135" t="s">
        <v>41</v>
      </c>
      <c r="L29" s="135" t="s">
        <v>42</v>
      </c>
      <c r="M29" s="135">
        <v>90036</v>
      </c>
      <c r="N29" s="135" t="s">
        <v>43</v>
      </c>
      <c r="O29" s="135" t="s">
        <v>211</v>
      </c>
      <c r="P29" s="135" t="s">
        <v>70</v>
      </c>
      <c r="Q29" s="135" t="s">
        <v>71</v>
      </c>
      <c r="R29" s="135" t="s">
        <v>212</v>
      </c>
      <c r="S29" s="135">
        <v>73.584000000000003</v>
      </c>
      <c r="T29" s="135">
        <v>2</v>
      </c>
      <c r="U29" s="135">
        <v>0.2</v>
      </c>
      <c r="V29" s="135">
        <v>8.2782</v>
      </c>
      <c r="W29" s="135" t="s">
        <v>1754</v>
      </c>
      <c r="X29" s="146">
        <v>46152.605972337966</v>
      </c>
      <c r="Y29" s="156"/>
      <c r="Z29" s="165"/>
      <c r="AA29" s="156"/>
      <c r="AB29" s="156"/>
      <c r="AC29" s="156"/>
      <c r="AD29" s="156"/>
      <c r="AE29" s="156"/>
      <c r="AF29" s="156"/>
      <c r="AG29" s="156"/>
      <c r="AH29" s="156"/>
      <c r="AI29" s="195"/>
    </row>
    <row r="30" spans="1:35" x14ac:dyDescent="0.35">
      <c r="A30" s="155"/>
      <c r="B30" s="143">
        <v>104</v>
      </c>
      <c r="C30" s="137" t="s">
        <v>452</v>
      </c>
      <c r="D30" s="138">
        <v>42321</v>
      </c>
      <c r="E30" s="138">
        <v>42325</v>
      </c>
      <c r="F30" s="137" t="s">
        <v>49</v>
      </c>
      <c r="G30" s="137" t="s">
        <v>453</v>
      </c>
      <c r="H30" s="137" t="s">
        <v>454</v>
      </c>
      <c r="I30" s="137" t="s">
        <v>25</v>
      </c>
      <c r="J30" s="137" t="s">
        <v>26</v>
      </c>
      <c r="K30" s="137" t="s">
        <v>455</v>
      </c>
      <c r="L30" s="137" t="s">
        <v>456</v>
      </c>
      <c r="M30" s="137">
        <v>80013</v>
      </c>
      <c r="N30" s="137" t="s">
        <v>43</v>
      </c>
      <c r="O30" s="137" t="s">
        <v>457</v>
      </c>
      <c r="P30" s="137" t="s">
        <v>70</v>
      </c>
      <c r="Q30" s="137" t="s">
        <v>160</v>
      </c>
      <c r="R30" s="137" t="s">
        <v>458</v>
      </c>
      <c r="S30" s="137">
        <v>238.89599999999999</v>
      </c>
      <c r="T30" s="137">
        <v>6</v>
      </c>
      <c r="U30" s="137">
        <v>0.2</v>
      </c>
      <c r="V30" s="137">
        <v>-26.875800000000002</v>
      </c>
      <c r="W30" s="137" t="s">
        <v>1754</v>
      </c>
      <c r="X30" s="144">
        <v>46152.605972337966</v>
      </c>
      <c r="Y30" s="156"/>
      <c r="Z30" s="165"/>
      <c r="AA30" s="156"/>
      <c r="AB30" s="156"/>
      <c r="AC30" s="156"/>
      <c r="AD30" s="156"/>
      <c r="AE30" s="156"/>
      <c r="AF30" s="156"/>
      <c r="AG30" s="156"/>
      <c r="AH30" s="156"/>
      <c r="AI30" s="195"/>
    </row>
    <row r="31" spans="1:35" x14ac:dyDescent="0.35">
      <c r="A31" s="155"/>
      <c r="B31" s="145">
        <v>153</v>
      </c>
      <c r="C31" s="135" t="s">
        <v>619</v>
      </c>
      <c r="D31" s="136">
        <v>42442</v>
      </c>
      <c r="E31" s="136">
        <v>42445</v>
      </c>
      <c r="F31" s="135" t="s">
        <v>187</v>
      </c>
      <c r="G31" s="135" t="s">
        <v>620</v>
      </c>
      <c r="H31" s="135" t="s">
        <v>621</v>
      </c>
      <c r="I31" s="135" t="s">
        <v>101</v>
      </c>
      <c r="J31" s="135" t="s">
        <v>26</v>
      </c>
      <c r="K31" s="135" t="s">
        <v>622</v>
      </c>
      <c r="L31" s="135" t="s">
        <v>309</v>
      </c>
      <c r="M31" s="135">
        <v>85254</v>
      </c>
      <c r="N31" s="135" t="s">
        <v>43</v>
      </c>
      <c r="O31" s="135" t="s">
        <v>625</v>
      </c>
      <c r="P31" s="135" t="s">
        <v>70</v>
      </c>
      <c r="Q31" s="135" t="s">
        <v>71</v>
      </c>
      <c r="R31" s="135" t="s">
        <v>626</v>
      </c>
      <c r="S31" s="135">
        <v>203.184</v>
      </c>
      <c r="T31" s="135">
        <v>2</v>
      </c>
      <c r="U31" s="135">
        <v>0.2</v>
      </c>
      <c r="V31" s="135">
        <v>15.238799999999999</v>
      </c>
      <c r="W31" s="135" t="s">
        <v>1754</v>
      </c>
      <c r="X31" s="146">
        <v>46152.605972337966</v>
      </c>
      <c r="Y31" s="156"/>
      <c r="Z31" s="165"/>
      <c r="AA31" s="156"/>
      <c r="AB31" s="156"/>
      <c r="AC31" s="156"/>
      <c r="AD31" s="156"/>
      <c r="AE31" s="156"/>
      <c r="AF31" s="156"/>
      <c r="AG31" s="156"/>
      <c r="AH31" s="156"/>
      <c r="AI31" s="195"/>
    </row>
    <row r="32" spans="1:35" x14ac:dyDescent="0.35">
      <c r="A32" s="155"/>
      <c r="B32" s="143">
        <v>187</v>
      </c>
      <c r="C32" s="137" t="s">
        <v>751</v>
      </c>
      <c r="D32" s="138">
        <v>41877</v>
      </c>
      <c r="E32" s="138">
        <v>41881</v>
      </c>
      <c r="F32" s="137" t="s">
        <v>49</v>
      </c>
      <c r="G32" s="137" t="s">
        <v>752</v>
      </c>
      <c r="H32" s="137" t="s">
        <v>753</v>
      </c>
      <c r="I32" s="137" t="s">
        <v>101</v>
      </c>
      <c r="J32" s="137" t="s">
        <v>26</v>
      </c>
      <c r="K32" s="137" t="s">
        <v>41</v>
      </c>
      <c r="L32" s="137" t="s">
        <v>42</v>
      </c>
      <c r="M32" s="137">
        <v>90032</v>
      </c>
      <c r="N32" s="137" t="s">
        <v>43</v>
      </c>
      <c r="O32" s="137" t="s">
        <v>754</v>
      </c>
      <c r="P32" s="137" t="s">
        <v>70</v>
      </c>
      <c r="Q32" s="137" t="s">
        <v>160</v>
      </c>
      <c r="R32" s="137" t="s">
        <v>755</v>
      </c>
      <c r="S32" s="137">
        <v>176.8</v>
      </c>
      <c r="T32" s="137">
        <v>8</v>
      </c>
      <c r="U32" s="137">
        <v>0</v>
      </c>
      <c r="V32" s="137">
        <v>22.984000000000002</v>
      </c>
      <c r="W32" s="137" t="s">
        <v>1754</v>
      </c>
      <c r="X32" s="144">
        <v>46152.605972337966</v>
      </c>
      <c r="Y32" s="156"/>
      <c r="Z32" s="165"/>
      <c r="AA32" s="156"/>
      <c r="AB32" s="156"/>
      <c r="AC32" s="156"/>
      <c r="AD32" s="156"/>
      <c r="AE32" s="156"/>
      <c r="AF32" s="156"/>
      <c r="AG32" s="156"/>
      <c r="AH32" s="156"/>
      <c r="AI32" s="195"/>
    </row>
    <row r="33" spans="1:35" x14ac:dyDescent="0.35">
      <c r="A33" s="155"/>
      <c r="B33" s="145">
        <v>206</v>
      </c>
      <c r="C33" s="135" t="s">
        <v>824</v>
      </c>
      <c r="D33" s="136">
        <v>43078</v>
      </c>
      <c r="E33" s="136">
        <v>43083</v>
      </c>
      <c r="F33" s="135" t="s">
        <v>49</v>
      </c>
      <c r="G33" s="135" t="s">
        <v>825</v>
      </c>
      <c r="H33" s="135" t="s">
        <v>826</v>
      </c>
      <c r="I33" s="135" t="s">
        <v>25</v>
      </c>
      <c r="J33" s="135" t="s">
        <v>26</v>
      </c>
      <c r="K33" s="135" t="s">
        <v>827</v>
      </c>
      <c r="L33" s="135" t="s">
        <v>42</v>
      </c>
      <c r="M33" s="135">
        <v>90604</v>
      </c>
      <c r="N33" s="135" t="s">
        <v>43</v>
      </c>
      <c r="O33" s="135" t="s">
        <v>828</v>
      </c>
      <c r="P33" s="135" t="s">
        <v>70</v>
      </c>
      <c r="Q33" s="135" t="s">
        <v>71</v>
      </c>
      <c r="R33" s="135" t="s">
        <v>829</v>
      </c>
      <c r="S33" s="135">
        <v>444.76799999999997</v>
      </c>
      <c r="T33" s="135">
        <v>4</v>
      </c>
      <c r="U33" s="135">
        <v>0.2</v>
      </c>
      <c r="V33" s="135">
        <v>44.476799999999997</v>
      </c>
      <c r="W33" s="135" t="s">
        <v>1754</v>
      </c>
      <c r="X33" s="146">
        <v>46152.605972337966</v>
      </c>
      <c r="Y33" s="156"/>
      <c r="Z33" s="165"/>
      <c r="AA33" s="156"/>
      <c r="AB33" s="156"/>
      <c r="AC33" s="156"/>
      <c r="AD33" s="156"/>
      <c r="AE33" s="156"/>
      <c r="AF33" s="156"/>
      <c r="AG33" s="156"/>
      <c r="AH33" s="156"/>
      <c r="AI33" s="195"/>
    </row>
    <row r="34" spans="1:35" x14ac:dyDescent="0.35">
      <c r="A34" s="155"/>
      <c r="B34" s="143">
        <v>219</v>
      </c>
      <c r="C34" s="137" t="s">
        <v>859</v>
      </c>
      <c r="D34" s="138">
        <v>42671</v>
      </c>
      <c r="E34" s="138">
        <v>42675</v>
      </c>
      <c r="F34" s="137" t="s">
        <v>49</v>
      </c>
      <c r="G34" s="137" t="s">
        <v>860</v>
      </c>
      <c r="H34" s="137" t="s">
        <v>861</v>
      </c>
      <c r="I34" s="137" t="s">
        <v>25</v>
      </c>
      <c r="J34" s="137" t="s">
        <v>26</v>
      </c>
      <c r="K34" s="137" t="s">
        <v>41</v>
      </c>
      <c r="L34" s="137" t="s">
        <v>42</v>
      </c>
      <c r="M34" s="137">
        <v>90032</v>
      </c>
      <c r="N34" s="137" t="s">
        <v>43</v>
      </c>
      <c r="O34" s="137" t="s">
        <v>862</v>
      </c>
      <c r="P34" s="137" t="s">
        <v>70</v>
      </c>
      <c r="Q34" s="137" t="s">
        <v>71</v>
      </c>
      <c r="R34" s="137" t="s">
        <v>863</v>
      </c>
      <c r="S34" s="137">
        <v>302.37599999999998</v>
      </c>
      <c r="T34" s="137">
        <v>3</v>
      </c>
      <c r="U34" s="137">
        <v>0.2</v>
      </c>
      <c r="V34" s="137">
        <v>22.6782</v>
      </c>
      <c r="W34" s="137" t="s">
        <v>1754</v>
      </c>
      <c r="X34" s="144">
        <v>46152.605972337966</v>
      </c>
      <c r="Y34" s="156"/>
      <c r="Z34" s="165"/>
      <c r="AA34" s="156"/>
      <c r="AB34" s="156"/>
      <c r="AC34" s="156"/>
      <c r="AD34" s="156"/>
      <c r="AE34" s="156"/>
      <c r="AF34" s="156"/>
      <c r="AG34" s="156"/>
      <c r="AH34" s="156"/>
      <c r="AI34" s="195"/>
    </row>
    <row r="35" spans="1:35" x14ac:dyDescent="0.35">
      <c r="A35" s="155"/>
      <c r="B35" s="145">
        <v>252</v>
      </c>
      <c r="C35" s="135" t="s">
        <v>946</v>
      </c>
      <c r="D35" s="136">
        <v>42624</v>
      </c>
      <c r="E35" s="136">
        <v>42630</v>
      </c>
      <c r="F35" s="135" t="s">
        <v>49</v>
      </c>
      <c r="G35" s="135" t="s">
        <v>947</v>
      </c>
      <c r="H35" s="135" t="s">
        <v>948</v>
      </c>
      <c r="I35" s="135" t="s">
        <v>25</v>
      </c>
      <c r="J35" s="135" t="s">
        <v>26</v>
      </c>
      <c r="K35" s="135" t="s">
        <v>949</v>
      </c>
      <c r="L35" s="135" t="s">
        <v>42</v>
      </c>
      <c r="M35" s="135">
        <v>92037</v>
      </c>
      <c r="N35" s="135" t="s">
        <v>43</v>
      </c>
      <c r="O35" s="135" t="s">
        <v>908</v>
      </c>
      <c r="P35" s="135" t="s">
        <v>70</v>
      </c>
      <c r="Q35" s="135" t="s">
        <v>160</v>
      </c>
      <c r="R35" s="135" t="s">
        <v>909</v>
      </c>
      <c r="S35" s="135">
        <v>3347.37</v>
      </c>
      <c r="T35" s="135">
        <v>13</v>
      </c>
      <c r="U35" s="135">
        <v>0</v>
      </c>
      <c r="V35" s="135">
        <v>636.00030000000004</v>
      </c>
      <c r="W35" s="135" t="s">
        <v>1753</v>
      </c>
      <c r="X35" s="146">
        <v>46152.605972337966</v>
      </c>
      <c r="Y35" s="156"/>
      <c r="Z35" s="165"/>
      <c r="AA35" s="156"/>
      <c r="AB35" s="156"/>
      <c r="AC35" s="156"/>
      <c r="AD35" s="156"/>
      <c r="AE35" s="156"/>
      <c r="AF35" s="156"/>
      <c r="AG35" s="156"/>
      <c r="AH35" s="156"/>
      <c r="AI35" s="195"/>
    </row>
    <row r="36" spans="1:35" x14ac:dyDescent="0.35">
      <c r="A36" s="155"/>
      <c r="B36" s="143">
        <v>266</v>
      </c>
      <c r="C36" s="137" t="s">
        <v>990</v>
      </c>
      <c r="D36" s="138">
        <v>42318</v>
      </c>
      <c r="E36" s="138">
        <v>42323</v>
      </c>
      <c r="F36" s="137" t="s">
        <v>49</v>
      </c>
      <c r="G36" s="137" t="s">
        <v>991</v>
      </c>
      <c r="H36" s="137" t="s">
        <v>992</v>
      </c>
      <c r="I36" s="137" t="s">
        <v>25</v>
      </c>
      <c r="J36" s="137" t="s">
        <v>26</v>
      </c>
      <c r="K36" s="137" t="s">
        <v>993</v>
      </c>
      <c r="L36" s="137" t="s">
        <v>42</v>
      </c>
      <c r="M36" s="137">
        <v>94513</v>
      </c>
      <c r="N36" s="137" t="s">
        <v>43</v>
      </c>
      <c r="O36" s="137" t="s">
        <v>994</v>
      </c>
      <c r="P36" s="137" t="s">
        <v>70</v>
      </c>
      <c r="Q36" s="137" t="s">
        <v>160</v>
      </c>
      <c r="R36" s="137" t="s">
        <v>995</v>
      </c>
      <c r="S36" s="137">
        <v>79.900000000000006</v>
      </c>
      <c r="T36" s="137">
        <v>2</v>
      </c>
      <c r="U36" s="137">
        <v>0</v>
      </c>
      <c r="V36" s="137">
        <v>35.155999999999999</v>
      </c>
      <c r="W36" s="137" t="s">
        <v>1754</v>
      </c>
      <c r="X36" s="144">
        <v>46152.605972337966</v>
      </c>
      <c r="Y36" s="156"/>
      <c r="Z36" s="165"/>
      <c r="AA36" s="156"/>
      <c r="AB36" s="156"/>
      <c r="AC36" s="156"/>
      <c r="AD36" s="156"/>
      <c r="AE36" s="156"/>
      <c r="AF36" s="156"/>
      <c r="AG36" s="156"/>
      <c r="AH36" s="156"/>
      <c r="AI36" s="195"/>
    </row>
    <row r="37" spans="1:35" x14ac:dyDescent="0.35">
      <c r="A37" s="155"/>
      <c r="B37" s="145">
        <v>272</v>
      </c>
      <c r="C37" s="135" t="s">
        <v>1019</v>
      </c>
      <c r="D37" s="136">
        <v>42215</v>
      </c>
      <c r="E37" s="136">
        <v>42216</v>
      </c>
      <c r="F37" s="135" t="s">
        <v>187</v>
      </c>
      <c r="G37" s="135" t="s">
        <v>600</v>
      </c>
      <c r="H37" s="135" t="s">
        <v>601</v>
      </c>
      <c r="I37" s="135" t="s">
        <v>25</v>
      </c>
      <c r="J37" s="135" t="s">
        <v>26</v>
      </c>
      <c r="K37" s="135" t="s">
        <v>126</v>
      </c>
      <c r="L37" s="135" t="s">
        <v>42</v>
      </c>
      <c r="M37" s="135">
        <v>94109</v>
      </c>
      <c r="N37" s="135" t="s">
        <v>43</v>
      </c>
      <c r="O37" s="135" t="s">
        <v>1020</v>
      </c>
      <c r="P37" s="135" t="s">
        <v>70</v>
      </c>
      <c r="Q37" s="135" t="s">
        <v>160</v>
      </c>
      <c r="R37" s="135" t="s">
        <v>1021</v>
      </c>
      <c r="S37" s="135">
        <v>209.93</v>
      </c>
      <c r="T37" s="135">
        <v>7</v>
      </c>
      <c r="U37" s="135">
        <v>0</v>
      </c>
      <c r="V37" s="135">
        <v>92.369200000000006</v>
      </c>
      <c r="W37" s="135" t="s">
        <v>1754</v>
      </c>
      <c r="X37" s="146">
        <v>46152.605972337966</v>
      </c>
      <c r="Y37" s="156"/>
      <c r="Z37" s="165"/>
      <c r="AA37" s="156"/>
      <c r="AB37" s="156"/>
      <c r="AC37" s="156"/>
      <c r="AD37" s="156"/>
      <c r="AE37" s="156"/>
      <c r="AF37" s="156"/>
      <c r="AG37" s="156"/>
      <c r="AH37" s="156"/>
      <c r="AI37" s="195"/>
    </row>
    <row r="38" spans="1:35" x14ac:dyDescent="0.35">
      <c r="A38" s="155"/>
      <c r="B38" s="143">
        <v>285</v>
      </c>
      <c r="C38" s="137" t="s">
        <v>1055</v>
      </c>
      <c r="D38" s="138">
        <v>42273</v>
      </c>
      <c r="E38" s="138">
        <v>42279</v>
      </c>
      <c r="F38" s="137" t="s">
        <v>49</v>
      </c>
      <c r="G38" s="137" t="s">
        <v>163</v>
      </c>
      <c r="H38" s="137" t="s">
        <v>164</v>
      </c>
      <c r="I38" s="137" t="s">
        <v>25</v>
      </c>
      <c r="J38" s="137" t="s">
        <v>26</v>
      </c>
      <c r="K38" s="137" t="s">
        <v>418</v>
      </c>
      <c r="L38" s="137" t="s">
        <v>419</v>
      </c>
      <c r="M38" s="137">
        <v>97206</v>
      </c>
      <c r="N38" s="137" t="s">
        <v>43</v>
      </c>
      <c r="O38" s="137" t="s">
        <v>1057</v>
      </c>
      <c r="P38" s="137" t="s">
        <v>70</v>
      </c>
      <c r="Q38" s="137" t="s">
        <v>160</v>
      </c>
      <c r="R38" s="137" t="s">
        <v>1058</v>
      </c>
      <c r="S38" s="137">
        <v>239.8</v>
      </c>
      <c r="T38" s="137">
        <v>5</v>
      </c>
      <c r="U38" s="137">
        <v>0.2</v>
      </c>
      <c r="V38" s="137">
        <v>47.96</v>
      </c>
      <c r="W38" s="137" t="s">
        <v>1754</v>
      </c>
      <c r="X38" s="144">
        <v>46152.605972337966</v>
      </c>
      <c r="Y38" s="156"/>
      <c r="Z38" s="165"/>
      <c r="AA38" s="156"/>
      <c r="AB38" s="156"/>
      <c r="AC38" s="156"/>
      <c r="AD38" s="156"/>
      <c r="AE38" s="156"/>
      <c r="AF38" s="156"/>
      <c r="AG38" s="156"/>
      <c r="AH38" s="156"/>
      <c r="AI38" s="195"/>
    </row>
    <row r="39" spans="1:35" x14ac:dyDescent="0.35">
      <c r="A39" s="155"/>
      <c r="B39" s="145">
        <v>325</v>
      </c>
      <c r="C39" s="135" t="s">
        <v>1178</v>
      </c>
      <c r="D39" s="136">
        <v>42483</v>
      </c>
      <c r="E39" s="136">
        <v>42487</v>
      </c>
      <c r="F39" s="135" t="s">
        <v>49</v>
      </c>
      <c r="G39" s="135" t="s">
        <v>1179</v>
      </c>
      <c r="H39" s="135" t="s">
        <v>1180</v>
      </c>
      <c r="I39" s="135" t="s">
        <v>40</v>
      </c>
      <c r="J39" s="135" t="s">
        <v>26</v>
      </c>
      <c r="K39" s="135" t="s">
        <v>1181</v>
      </c>
      <c r="L39" s="135" t="s">
        <v>42</v>
      </c>
      <c r="M39" s="135">
        <v>92345</v>
      </c>
      <c r="N39" s="135" t="s">
        <v>43</v>
      </c>
      <c r="O39" s="135" t="s">
        <v>1182</v>
      </c>
      <c r="P39" s="135" t="s">
        <v>70</v>
      </c>
      <c r="Q39" s="135" t="s">
        <v>160</v>
      </c>
      <c r="R39" s="135" t="s">
        <v>1183</v>
      </c>
      <c r="S39" s="135">
        <v>99.99</v>
      </c>
      <c r="T39" s="135">
        <v>1</v>
      </c>
      <c r="U39" s="135">
        <v>0</v>
      </c>
      <c r="V39" s="135">
        <v>34.996499999999997</v>
      </c>
      <c r="W39" s="135" t="s">
        <v>1754</v>
      </c>
      <c r="X39" s="146">
        <v>46152.605972337966</v>
      </c>
      <c r="Y39" s="156"/>
      <c r="Z39" s="165"/>
      <c r="AA39" s="156"/>
      <c r="AB39" s="156"/>
      <c r="AC39" s="156"/>
      <c r="AD39" s="156"/>
      <c r="AE39" s="156"/>
      <c r="AF39" s="156"/>
      <c r="AG39" s="156"/>
      <c r="AH39" s="156"/>
      <c r="AI39" s="195"/>
    </row>
    <row r="40" spans="1:35" x14ac:dyDescent="0.35">
      <c r="A40" s="155"/>
      <c r="B40" s="143">
        <v>336</v>
      </c>
      <c r="C40" s="137" t="s">
        <v>1212</v>
      </c>
      <c r="D40" s="138">
        <v>42248</v>
      </c>
      <c r="E40" s="138">
        <v>42251</v>
      </c>
      <c r="F40" s="137" t="s">
        <v>22</v>
      </c>
      <c r="G40" s="137" t="s">
        <v>1213</v>
      </c>
      <c r="H40" s="137" t="s">
        <v>1214</v>
      </c>
      <c r="I40" s="137" t="s">
        <v>25</v>
      </c>
      <c r="J40" s="137" t="s">
        <v>26</v>
      </c>
      <c r="K40" s="137" t="s">
        <v>41</v>
      </c>
      <c r="L40" s="137" t="s">
        <v>42</v>
      </c>
      <c r="M40" s="137">
        <v>90045</v>
      </c>
      <c r="N40" s="137" t="s">
        <v>43</v>
      </c>
      <c r="O40" s="137" t="s">
        <v>1217</v>
      </c>
      <c r="P40" s="137" t="s">
        <v>70</v>
      </c>
      <c r="Q40" s="137" t="s">
        <v>1218</v>
      </c>
      <c r="R40" s="137" t="s">
        <v>1219</v>
      </c>
      <c r="S40" s="137">
        <v>959.98400000000004</v>
      </c>
      <c r="T40" s="137">
        <v>2</v>
      </c>
      <c r="U40" s="137">
        <v>0.2</v>
      </c>
      <c r="V40" s="137">
        <v>335.99439999999998</v>
      </c>
      <c r="W40" s="137" t="s">
        <v>1753</v>
      </c>
      <c r="X40" s="144">
        <v>46152.605972337966</v>
      </c>
      <c r="Y40" s="156"/>
      <c r="Z40" s="165"/>
      <c r="AA40" s="156"/>
      <c r="AB40" s="156"/>
      <c r="AC40" s="156"/>
      <c r="AD40" s="156"/>
      <c r="AE40" s="156"/>
      <c r="AF40" s="156"/>
      <c r="AG40" s="156"/>
      <c r="AH40" s="156"/>
      <c r="AI40" s="195"/>
    </row>
    <row r="41" spans="1:35" x14ac:dyDescent="0.35">
      <c r="A41" s="155"/>
      <c r="B41" s="145">
        <v>346</v>
      </c>
      <c r="C41" s="135" t="s">
        <v>1240</v>
      </c>
      <c r="D41" s="136">
        <v>42901</v>
      </c>
      <c r="E41" s="136">
        <v>42905</v>
      </c>
      <c r="F41" s="135" t="s">
        <v>49</v>
      </c>
      <c r="G41" s="135" t="s">
        <v>1241</v>
      </c>
      <c r="H41" s="135" t="s">
        <v>1242</v>
      </c>
      <c r="I41" s="135" t="s">
        <v>25</v>
      </c>
      <c r="J41" s="135" t="s">
        <v>26</v>
      </c>
      <c r="K41" s="135" t="s">
        <v>126</v>
      </c>
      <c r="L41" s="135" t="s">
        <v>42</v>
      </c>
      <c r="M41" s="135">
        <v>94122</v>
      </c>
      <c r="N41" s="135" t="s">
        <v>43</v>
      </c>
      <c r="O41" s="135" t="s">
        <v>557</v>
      </c>
      <c r="P41" s="135" t="s">
        <v>70</v>
      </c>
      <c r="Q41" s="135" t="s">
        <v>71</v>
      </c>
      <c r="R41" s="135" t="s">
        <v>558</v>
      </c>
      <c r="S41" s="135">
        <v>47.975999999999999</v>
      </c>
      <c r="T41" s="135">
        <v>3</v>
      </c>
      <c r="U41" s="135">
        <v>0.2</v>
      </c>
      <c r="V41" s="135">
        <v>4.7976000000000001</v>
      </c>
      <c r="W41" s="135" t="s">
        <v>1754</v>
      </c>
      <c r="X41" s="146">
        <v>46152.605972337966</v>
      </c>
      <c r="Y41" s="156"/>
      <c r="Z41" s="165"/>
      <c r="AA41" s="156"/>
      <c r="AB41" s="156"/>
      <c r="AC41" s="156"/>
      <c r="AD41" s="156"/>
      <c r="AE41" s="156"/>
      <c r="AF41" s="156"/>
      <c r="AG41" s="156"/>
      <c r="AH41" s="156"/>
      <c r="AI41" s="195"/>
    </row>
    <row r="42" spans="1:35" x14ac:dyDescent="0.35">
      <c r="A42" s="155"/>
      <c r="B42" s="143">
        <v>374</v>
      </c>
      <c r="C42" s="137" t="s">
        <v>1310</v>
      </c>
      <c r="D42" s="138">
        <v>41843</v>
      </c>
      <c r="E42" s="138">
        <v>41847</v>
      </c>
      <c r="F42" s="137" t="s">
        <v>49</v>
      </c>
      <c r="G42" s="137" t="s">
        <v>1311</v>
      </c>
      <c r="H42" s="137" t="s">
        <v>1312</v>
      </c>
      <c r="I42" s="137" t="s">
        <v>25</v>
      </c>
      <c r="J42" s="137" t="s">
        <v>26</v>
      </c>
      <c r="K42" s="137" t="s">
        <v>1313</v>
      </c>
      <c r="L42" s="137" t="s">
        <v>309</v>
      </c>
      <c r="M42" s="137">
        <v>85705</v>
      </c>
      <c r="N42" s="137" t="s">
        <v>43</v>
      </c>
      <c r="O42" s="137" t="s">
        <v>1314</v>
      </c>
      <c r="P42" s="137" t="s">
        <v>70</v>
      </c>
      <c r="Q42" s="137" t="s">
        <v>160</v>
      </c>
      <c r="R42" s="137" t="s">
        <v>1315</v>
      </c>
      <c r="S42" s="137">
        <v>1023.936</v>
      </c>
      <c r="T42" s="137">
        <v>8</v>
      </c>
      <c r="U42" s="137">
        <v>0.2</v>
      </c>
      <c r="V42" s="137">
        <v>179.18879999999999</v>
      </c>
      <c r="W42" s="137" t="s">
        <v>1753</v>
      </c>
      <c r="X42" s="144">
        <v>46152.605972337966</v>
      </c>
      <c r="Y42" s="156"/>
      <c r="Z42" s="165"/>
      <c r="AA42" s="156"/>
      <c r="AB42" s="156"/>
      <c r="AC42" s="156"/>
      <c r="AD42" s="156"/>
      <c r="AE42" s="156"/>
      <c r="AF42" s="156"/>
      <c r="AG42" s="156"/>
      <c r="AH42" s="156"/>
      <c r="AI42" s="195"/>
    </row>
    <row r="43" spans="1:35" x14ac:dyDescent="0.35">
      <c r="A43" s="155"/>
      <c r="B43" s="145">
        <v>376</v>
      </c>
      <c r="C43" s="135" t="s">
        <v>1310</v>
      </c>
      <c r="D43" s="136">
        <v>41843</v>
      </c>
      <c r="E43" s="136">
        <v>41847</v>
      </c>
      <c r="F43" s="135" t="s">
        <v>49</v>
      </c>
      <c r="G43" s="135" t="s">
        <v>1311</v>
      </c>
      <c r="H43" s="135" t="s">
        <v>1312</v>
      </c>
      <c r="I43" s="135" t="s">
        <v>25</v>
      </c>
      <c r="J43" s="135" t="s">
        <v>26</v>
      </c>
      <c r="K43" s="135" t="s">
        <v>1313</v>
      </c>
      <c r="L43" s="135" t="s">
        <v>309</v>
      </c>
      <c r="M43" s="135">
        <v>85705</v>
      </c>
      <c r="N43" s="135" t="s">
        <v>43</v>
      </c>
      <c r="O43" s="135" t="s">
        <v>1318</v>
      </c>
      <c r="P43" s="135" t="s">
        <v>70</v>
      </c>
      <c r="Q43" s="135" t="s">
        <v>160</v>
      </c>
      <c r="R43" s="135" t="s">
        <v>1319</v>
      </c>
      <c r="S43" s="135">
        <v>479.04</v>
      </c>
      <c r="T43" s="135">
        <v>10</v>
      </c>
      <c r="U43" s="135">
        <v>0.2</v>
      </c>
      <c r="V43" s="135">
        <v>-29.94</v>
      </c>
      <c r="W43" s="135" t="s">
        <v>1754</v>
      </c>
      <c r="X43" s="146">
        <v>46152.605972337966</v>
      </c>
      <c r="Y43" s="156"/>
      <c r="Z43" s="165"/>
      <c r="AA43" s="156"/>
      <c r="AB43" s="156"/>
      <c r="AC43" s="156"/>
      <c r="AD43" s="156"/>
      <c r="AE43" s="156"/>
      <c r="AF43" s="156"/>
      <c r="AG43" s="156"/>
      <c r="AH43" s="156"/>
      <c r="AI43" s="195"/>
    </row>
    <row r="44" spans="1:35" x14ac:dyDescent="0.35">
      <c r="A44" s="155"/>
      <c r="B44" s="143">
        <v>392</v>
      </c>
      <c r="C44" s="137" t="s">
        <v>1377</v>
      </c>
      <c r="D44" s="138">
        <v>41903</v>
      </c>
      <c r="E44" s="138">
        <v>41905</v>
      </c>
      <c r="F44" s="137" t="s">
        <v>22</v>
      </c>
      <c r="G44" s="137" t="s">
        <v>1378</v>
      </c>
      <c r="H44" s="137" t="s">
        <v>1379</v>
      </c>
      <c r="I44" s="137" t="s">
        <v>25</v>
      </c>
      <c r="J44" s="137" t="s">
        <v>26</v>
      </c>
      <c r="K44" s="137" t="s">
        <v>1380</v>
      </c>
      <c r="L44" s="137" t="s">
        <v>95</v>
      </c>
      <c r="M44" s="137">
        <v>98198</v>
      </c>
      <c r="N44" s="137" t="s">
        <v>43</v>
      </c>
      <c r="O44" s="137" t="s">
        <v>1381</v>
      </c>
      <c r="P44" s="137" t="s">
        <v>70</v>
      </c>
      <c r="Q44" s="137" t="s">
        <v>71</v>
      </c>
      <c r="R44" s="137" t="s">
        <v>1382</v>
      </c>
      <c r="S44" s="137">
        <v>246.38399999999999</v>
      </c>
      <c r="T44" s="137">
        <v>2</v>
      </c>
      <c r="U44" s="137">
        <v>0.2</v>
      </c>
      <c r="V44" s="137">
        <v>27.7182</v>
      </c>
      <c r="W44" s="137" t="s">
        <v>1754</v>
      </c>
      <c r="X44" s="144">
        <v>46152.605972337966</v>
      </c>
      <c r="Y44" s="156"/>
      <c r="Z44" s="165"/>
      <c r="AA44" s="156"/>
      <c r="AB44" s="156"/>
      <c r="AC44" s="156"/>
      <c r="AD44" s="156"/>
      <c r="AE44" s="156"/>
      <c r="AF44" s="156"/>
      <c r="AG44" s="156"/>
      <c r="AH44" s="156"/>
      <c r="AI44" s="195"/>
    </row>
    <row r="45" spans="1:35" x14ac:dyDescent="0.35">
      <c r="A45" s="155"/>
      <c r="B45" s="145">
        <v>393</v>
      </c>
      <c r="C45" s="135" t="s">
        <v>1377</v>
      </c>
      <c r="D45" s="136">
        <v>41903</v>
      </c>
      <c r="E45" s="136">
        <v>41905</v>
      </c>
      <c r="F45" s="135" t="s">
        <v>22</v>
      </c>
      <c r="G45" s="135" t="s">
        <v>1378</v>
      </c>
      <c r="H45" s="135" t="s">
        <v>1379</v>
      </c>
      <c r="I45" s="135" t="s">
        <v>25</v>
      </c>
      <c r="J45" s="135" t="s">
        <v>26</v>
      </c>
      <c r="K45" s="135" t="s">
        <v>1380</v>
      </c>
      <c r="L45" s="135" t="s">
        <v>95</v>
      </c>
      <c r="M45" s="135">
        <v>98198</v>
      </c>
      <c r="N45" s="135" t="s">
        <v>43</v>
      </c>
      <c r="O45" s="135" t="s">
        <v>1383</v>
      </c>
      <c r="P45" s="135" t="s">
        <v>70</v>
      </c>
      <c r="Q45" s="135" t="s">
        <v>1218</v>
      </c>
      <c r="R45" s="135" t="s">
        <v>1384</v>
      </c>
      <c r="S45" s="135">
        <v>1799.97</v>
      </c>
      <c r="T45" s="135">
        <v>3</v>
      </c>
      <c r="U45" s="135">
        <v>0</v>
      </c>
      <c r="V45" s="135">
        <v>701.98829999999998</v>
      </c>
      <c r="W45" s="135" t="s">
        <v>1753</v>
      </c>
      <c r="X45" s="146">
        <v>46152.605972337966</v>
      </c>
      <c r="Y45" s="156"/>
      <c r="Z45" s="165"/>
      <c r="AA45" s="156"/>
      <c r="AB45" s="156"/>
      <c r="AC45" s="156"/>
      <c r="AD45" s="156"/>
      <c r="AE45" s="156"/>
      <c r="AF45" s="156"/>
      <c r="AG45" s="156"/>
      <c r="AH45" s="156"/>
      <c r="AI45" s="195"/>
    </row>
    <row r="46" spans="1:35" x14ac:dyDescent="0.35">
      <c r="A46" s="155"/>
      <c r="B46" s="143">
        <v>406</v>
      </c>
      <c r="C46" s="137" t="s">
        <v>1433</v>
      </c>
      <c r="D46" s="138">
        <v>43077</v>
      </c>
      <c r="E46" s="138">
        <v>43081</v>
      </c>
      <c r="F46" s="137" t="s">
        <v>49</v>
      </c>
      <c r="G46" s="137" t="s">
        <v>1434</v>
      </c>
      <c r="H46" s="137" t="s">
        <v>1435</v>
      </c>
      <c r="I46" s="137" t="s">
        <v>25</v>
      </c>
      <c r="J46" s="137" t="s">
        <v>26</v>
      </c>
      <c r="K46" s="137" t="s">
        <v>126</v>
      </c>
      <c r="L46" s="137" t="s">
        <v>42</v>
      </c>
      <c r="M46" s="137">
        <v>94110</v>
      </c>
      <c r="N46" s="137" t="s">
        <v>43</v>
      </c>
      <c r="O46" s="137" t="s">
        <v>1417</v>
      </c>
      <c r="P46" s="137" t="s">
        <v>70</v>
      </c>
      <c r="Q46" s="137" t="s">
        <v>160</v>
      </c>
      <c r="R46" s="137" t="s">
        <v>1418</v>
      </c>
      <c r="S46" s="137">
        <v>179.95</v>
      </c>
      <c r="T46" s="137">
        <v>5</v>
      </c>
      <c r="U46" s="137">
        <v>0</v>
      </c>
      <c r="V46" s="137">
        <v>37.789499999999997</v>
      </c>
      <c r="W46" s="137" t="s">
        <v>1754</v>
      </c>
      <c r="X46" s="144">
        <v>46152.605972337966</v>
      </c>
      <c r="Y46" s="156"/>
      <c r="Z46" s="165"/>
      <c r="AA46" s="156"/>
      <c r="AB46" s="156"/>
      <c r="AC46" s="156"/>
      <c r="AD46" s="156"/>
      <c r="AE46" s="156"/>
      <c r="AF46" s="156"/>
      <c r="AG46" s="156"/>
      <c r="AH46" s="156"/>
      <c r="AI46" s="195"/>
    </row>
    <row r="47" spans="1:35" x14ac:dyDescent="0.35">
      <c r="A47" s="155"/>
      <c r="B47" s="145">
        <v>407</v>
      </c>
      <c r="C47" s="135" t="s">
        <v>1433</v>
      </c>
      <c r="D47" s="136">
        <v>43077</v>
      </c>
      <c r="E47" s="136">
        <v>43081</v>
      </c>
      <c r="F47" s="135" t="s">
        <v>49</v>
      </c>
      <c r="G47" s="135" t="s">
        <v>1434</v>
      </c>
      <c r="H47" s="135" t="s">
        <v>1435</v>
      </c>
      <c r="I47" s="135" t="s">
        <v>25</v>
      </c>
      <c r="J47" s="135" t="s">
        <v>26</v>
      </c>
      <c r="K47" s="135" t="s">
        <v>126</v>
      </c>
      <c r="L47" s="135" t="s">
        <v>42</v>
      </c>
      <c r="M47" s="135">
        <v>94110</v>
      </c>
      <c r="N47" s="135" t="s">
        <v>43</v>
      </c>
      <c r="O47" s="135" t="s">
        <v>1436</v>
      </c>
      <c r="P47" s="135" t="s">
        <v>70</v>
      </c>
      <c r="Q47" s="135" t="s">
        <v>1218</v>
      </c>
      <c r="R47" s="135" t="s">
        <v>1437</v>
      </c>
      <c r="S47" s="135">
        <v>1199.9760000000001</v>
      </c>
      <c r="T47" s="135">
        <v>3</v>
      </c>
      <c r="U47" s="135">
        <v>0.2</v>
      </c>
      <c r="V47" s="135">
        <v>434.99130000000002</v>
      </c>
      <c r="W47" s="135" t="s">
        <v>1753</v>
      </c>
      <c r="X47" s="146">
        <v>46152.605972337966</v>
      </c>
      <c r="Y47" s="156"/>
      <c r="Z47" s="165"/>
      <c r="AA47" s="156"/>
      <c r="AB47" s="156"/>
      <c r="AC47" s="156"/>
      <c r="AD47" s="156"/>
      <c r="AE47" s="156"/>
      <c r="AF47" s="156"/>
      <c r="AG47" s="156"/>
      <c r="AH47" s="156"/>
      <c r="AI47" s="195"/>
    </row>
    <row r="48" spans="1:35" x14ac:dyDescent="0.35">
      <c r="A48" s="155"/>
      <c r="B48" s="143">
        <v>422</v>
      </c>
      <c r="C48" s="137" t="s">
        <v>1476</v>
      </c>
      <c r="D48" s="138">
        <v>41812</v>
      </c>
      <c r="E48" s="138">
        <v>41815</v>
      </c>
      <c r="F48" s="137" t="s">
        <v>187</v>
      </c>
      <c r="G48" s="137" t="s">
        <v>331</v>
      </c>
      <c r="H48" s="137" t="s">
        <v>332</v>
      </c>
      <c r="I48" s="137" t="s">
        <v>25</v>
      </c>
      <c r="J48" s="137" t="s">
        <v>26</v>
      </c>
      <c r="K48" s="137" t="s">
        <v>1477</v>
      </c>
      <c r="L48" s="137" t="s">
        <v>456</v>
      </c>
      <c r="M48" s="137">
        <v>80027</v>
      </c>
      <c r="N48" s="137" t="s">
        <v>43</v>
      </c>
      <c r="O48" s="137" t="s">
        <v>1478</v>
      </c>
      <c r="P48" s="137" t="s">
        <v>70</v>
      </c>
      <c r="Q48" s="137" t="s">
        <v>160</v>
      </c>
      <c r="R48" s="137" t="s">
        <v>1479</v>
      </c>
      <c r="S48" s="137">
        <v>196.75200000000001</v>
      </c>
      <c r="T48" s="137">
        <v>6</v>
      </c>
      <c r="U48" s="137">
        <v>0.2</v>
      </c>
      <c r="V48" s="137">
        <v>56.566200000000002</v>
      </c>
      <c r="W48" s="137" t="s">
        <v>1754</v>
      </c>
      <c r="X48" s="144">
        <v>46152.605972337966</v>
      </c>
      <c r="Y48" s="156"/>
      <c r="Z48" s="165"/>
      <c r="AA48" s="156"/>
      <c r="AB48" s="156"/>
      <c r="AC48" s="156"/>
      <c r="AD48" s="156"/>
      <c r="AE48" s="156"/>
      <c r="AF48" s="156"/>
      <c r="AG48" s="156"/>
      <c r="AH48" s="156"/>
      <c r="AI48" s="195"/>
    </row>
    <row r="49" spans="1:35" x14ac:dyDescent="0.35">
      <c r="A49" s="155"/>
      <c r="B49" s="145">
        <v>461</v>
      </c>
      <c r="C49" s="135" t="s">
        <v>1595</v>
      </c>
      <c r="D49" s="136">
        <v>42353</v>
      </c>
      <c r="E49" s="136">
        <v>42360</v>
      </c>
      <c r="F49" s="135" t="s">
        <v>49</v>
      </c>
      <c r="G49" s="135" t="s">
        <v>831</v>
      </c>
      <c r="H49" s="135" t="s">
        <v>832</v>
      </c>
      <c r="I49" s="135" t="s">
        <v>25</v>
      </c>
      <c r="J49" s="135" t="s">
        <v>26</v>
      </c>
      <c r="K49" s="135" t="s">
        <v>94</v>
      </c>
      <c r="L49" s="135" t="s">
        <v>95</v>
      </c>
      <c r="M49" s="135">
        <v>98115</v>
      </c>
      <c r="N49" s="135" t="s">
        <v>43</v>
      </c>
      <c r="O49" s="135" t="s">
        <v>1598</v>
      </c>
      <c r="P49" s="135" t="s">
        <v>70</v>
      </c>
      <c r="Q49" s="135" t="s">
        <v>160</v>
      </c>
      <c r="R49" s="135" t="s">
        <v>1599</v>
      </c>
      <c r="S49" s="135">
        <v>899.91</v>
      </c>
      <c r="T49" s="135">
        <v>9</v>
      </c>
      <c r="U49" s="135">
        <v>0</v>
      </c>
      <c r="V49" s="135">
        <v>377.9622</v>
      </c>
      <c r="W49" s="135" t="s">
        <v>1753</v>
      </c>
      <c r="X49" s="146">
        <v>46152.605972337966</v>
      </c>
      <c r="Y49" s="156"/>
      <c r="Z49" s="165"/>
      <c r="AA49" s="156"/>
      <c r="AB49" s="156"/>
      <c r="AC49" s="156"/>
      <c r="AD49" s="156"/>
      <c r="AE49" s="156"/>
      <c r="AF49" s="156"/>
      <c r="AG49" s="156"/>
      <c r="AH49" s="156"/>
      <c r="AI49" s="195"/>
    </row>
    <row r="50" spans="1:35" x14ac:dyDescent="0.35">
      <c r="A50" s="155"/>
      <c r="B50" s="143">
        <v>474</v>
      </c>
      <c r="C50" s="137" t="s">
        <v>1630</v>
      </c>
      <c r="D50" s="138">
        <v>41952</v>
      </c>
      <c r="E50" s="138">
        <v>41954</v>
      </c>
      <c r="F50" s="137" t="s">
        <v>22</v>
      </c>
      <c r="G50" s="137" t="s">
        <v>1631</v>
      </c>
      <c r="H50" s="137" t="s">
        <v>1632</v>
      </c>
      <c r="I50" s="137" t="s">
        <v>25</v>
      </c>
      <c r="J50" s="137" t="s">
        <v>26</v>
      </c>
      <c r="K50" s="137" t="s">
        <v>126</v>
      </c>
      <c r="L50" s="137" t="s">
        <v>42</v>
      </c>
      <c r="M50" s="137">
        <v>94110</v>
      </c>
      <c r="N50" s="137" t="s">
        <v>43</v>
      </c>
      <c r="O50" s="137" t="s">
        <v>1637</v>
      </c>
      <c r="P50" s="137" t="s">
        <v>70</v>
      </c>
      <c r="Q50" s="137" t="s">
        <v>71</v>
      </c>
      <c r="R50" s="137" t="s">
        <v>1638</v>
      </c>
      <c r="S50" s="137">
        <v>703.96799999999996</v>
      </c>
      <c r="T50" s="137">
        <v>4</v>
      </c>
      <c r="U50" s="137">
        <v>0.2</v>
      </c>
      <c r="V50" s="137">
        <v>87.995999999999995</v>
      </c>
      <c r="W50" s="137" t="s">
        <v>1753</v>
      </c>
      <c r="X50" s="144">
        <v>46152.605972337966</v>
      </c>
      <c r="Y50" s="156"/>
      <c r="Z50" s="165"/>
      <c r="AA50" s="156"/>
      <c r="AB50" s="156"/>
      <c r="AC50" s="156"/>
      <c r="AD50" s="156"/>
      <c r="AE50" s="156"/>
      <c r="AF50" s="156"/>
      <c r="AG50" s="156"/>
      <c r="AH50" s="156"/>
      <c r="AI50" s="195"/>
    </row>
    <row r="51" spans="1:35" x14ac:dyDescent="0.35">
      <c r="A51" s="155"/>
      <c r="B51" s="145">
        <v>478</v>
      </c>
      <c r="C51" s="135" t="s">
        <v>1645</v>
      </c>
      <c r="D51" s="136">
        <v>42563</v>
      </c>
      <c r="E51" s="136">
        <v>42570</v>
      </c>
      <c r="F51" s="135" t="s">
        <v>49</v>
      </c>
      <c r="G51" s="135" t="s">
        <v>1015</v>
      </c>
      <c r="H51" s="135" t="s">
        <v>1016</v>
      </c>
      <c r="I51" s="135" t="s">
        <v>40</v>
      </c>
      <c r="J51" s="135" t="s">
        <v>26</v>
      </c>
      <c r="K51" s="135" t="s">
        <v>41</v>
      </c>
      <c r="L51" s="135" t="s">
        <v>42</v>
      </c>
      <c r="M51" s="135">
        <v>90008</v>
      </c>
      <c r="N51" s="135" t="s">
        <v>43</v>
      </c>
      <c r="O51" s="135" t="s">
        <v>1646</v>
      </c>
      <c r="P51" s="135" t="s">
        <v>70</v>
      </c>
      <c r="Q51" s="135" t="s">
        <v>71</v>
      </c>
      <c r="R51" s="135" t="s">
        <v>1647</v>
      </c>
      <c r="S51" s="135">
        <v>95.76</v>
      </c>
      <c r="T51" s="135">
        <v>6</v>
      </c>
      <c r="U51" s="135">
        <v>0.2</v>
      </c>
      <c r="V51" s="135">
        <v>7.1820000000000004</v>
      </c>
      <c r="W51" s="135" t="s">
        <v>1754</v>
      </c>
      <c r="X51" s="146">
        <v>46152.605972337966</v>
      </c>
      <c r="Y51" s="156"/>
      <c r="Z51" s="165"/>
      <c r="AA51" s="156"/>
      <c r="AB51" s="156"/>
      <c r="AC51" s="156"/>
      <c r="AD51" s="156"/>
      <c r="AE51" s="156"/>
      <c r="AF51" s="156"/>
      <c r="AG51" s="156"/>
      <c r="AH51" s="156"/>
      <c r="AI51" s="195"/>
    </row>
    <row r="52" spans="1:35" x14ac:dyDescent="0.35">
      <c r="A52" s="155"/>
      <c r="B52" s="143">
        <v>482</v>
      </c>
      <c r="C52" s="137" t="s">
        <v>1658</v>
      </c>
      <c r="D52" s="138">
        <v>41918</v>
      </c>
      <c r="E52" s="138">
        <v>41922</v>
      </c>
      <c r="F52" s="137" t="s">
        <v>49</v>
      </c>
      <c r="G52" s="137" t="s">
        <v>1659</v>
      </c>
      <c r="H52" s="137" t="s">
        <v>1660</v>
      </c>
      <c r="I52" s="137" t="s">
        <v>25</v>
      </c>
      <c r="J52" s="137" t="s">
        <v>26</v>
      </c>
      <c r="K52" s="137" t="s">
        <v>949</v>
      </c>
      <c r="L52" s="137" t="s">
        <v>42</v>
      </c>
      <c r="M52" s="137">
        <v>92024</v>
      </c>
      <c r="N52" s="137" t="s">
        <v>43</v>
      </c>
      <c r="O52" s="137" t="s">
        <v>1661</v>
      </c>
      <c r="P52" s="137" t="s">
        <v>70</v>
      </c>
      <c r="Q52" s="135" t="s">
        <v>71</v>
      </c>
      <c r="R52" s="137" t="s">
        <v>1662</v>
      </c>
      <c r="S52" s="137">
        <v>9.09</v>
      </c>
      <c r="T52" s="137">
        <v>3</v>
      </c>
      <c r="U52" s="137">
        <v>0</v>
      </c>
      <c r="V52" s="137">
        <v>1.9089</v>
      </c>
      <c r="W52" s="137" t="s">
        <v>1754</v>
      </c>
      <c r="X52" s="144">
        <v>46152.605972337966</v>
      </c>
      <c r="Y52" s="156"/>
      <c r="Z52" s="165"/>
      <c r="AA52" s="156"/>
      <c r="AB52" s="156"/>
      <c r="AC52" s="156"/>
      <c r="AD52" s="156"/>
      <c r="AE52" s="156"/>
      <c r="AF52" s="156"/>
      <c r="AG52" s="156"/>
      <c r="AH52" s="156"/>
      <c r="AI52" s="195"/>
    </row>
    <row r="53" spans="1:35" x14ac:dyDescent="0.35">
      <c r="A53" s="155"/>
      <c r="B53" s="145">
        <v>487</v>
      </c>
      <c r="C53" s="135" t="s">
        <v>1668</v>
      </c>
      <c r="D53" s="136">
        <v>42896</v>
      </c>
      <c r="E53" s="136">
        <v>42899</v>
      </c>
      <c r="F53" s="135" t="s">
        <v>187</v>
      </c>
      <c r="G53" s="135" t="s">
        <v>1669</v>
      </c>
      <c r="H53" s="135" t="s">
        <v>1670</v>
      </c>
      <c r="I53" s="135" t="s">
        <v>101</v>
      </c>
      <c r="J53" s="135" t="s">
        <v>26</v>
      </c>
      <c r="K53" s="135" t="s">
        <v>41</v>
      </c>
      <c r="L53" s="135" t="s">
        <v>42</v>
      </c>
      <c r="M53" s="135">
        <v>90045</v>
      </c>
      <c r="N53" s="135" t="s">
        <v>43</v>
      </c>
      <c r="O53" s="135" t="s">
        <v>1675</v>
      </c>
      <c r="P53" s="135" t="s">
        <v>70</v>
      </c>
      <c r="Q53" s="135" t="s">
        <v>71</v>
      </c>
      <c r="R53" s="135" t="s">
        <v>1676</v>
      </c>
      <c r="S53" s="135">
        <v>279.95999999999998</v>
      </c>
      <c r="T53" s="135">
        <v>5</v>
      </c>
      <c r="U53" s="135">
        <v>0.2</v>
      </c>
      <c r="V53" s="135">
        <v>17.497499999999999</v>
      </c>
      <c r="W53" s="135" t="s">
        <v>1754</v>
      </c>
      <c r="X53" s="146">
        <v>46152.605972337966</v>
      </c>
      <c r="Y53" s="156"/>
      <c r="Z53" s="165"/>
      <c r="AA53" s="156"/>
      <c r="AB53" s="156"/>
      <c r="AC53" s="156"/>
      <c r="AD53" s="156"/>
      <c r="AE53" s="156"/>
      <c r="AF53" s="156"/>
      <c r="AG53" s="156"/>
      <c r="AH53" s="156"/>
      <c r="AI53" s="195"/>
    </row>
    <row r="54" spans="1:35" ht="15" thickBot="1" x14ac:dyDescent="0.4">
      <c r="A54" s="155"/>
      <c r="B54" s="147">
        <v>494</v>
      </c>
      <c r="C54" s="148" t="s">
        <v>1697</v>
      </c>
      <c r="D54" s="149">
        <v>42499</v>
      </c>
      <c r="E54" s="149">
        <v>42504</v>
      </c>
      <c r="F54" s="148" t="s">
        <v>49</v>
      </c>
      <c r="G54" s="148" t="s">
        <v>1698</v>
      </c>
      <c r="H54" s="148" t="s">
        <v>1699</v>
      </c>
      <c r="I54" s="148" t="s">
        <v>25</v>
      </c>
      <c r="J54" s="148" t="s">
        <v>26</v>
      </c>
      <c r="K54" s="148" t="s">
        <v>94</v>
      </c>
      <c r="L54" s="148" t="s">
        <v>95</v>
      </c>
      <c r="M54" s="148">
        <v>98115</v>
      </c>
      <c r="N54" s="148" t="s">
        <v>43</v>
      </c>
      <c r="O54" s="148" t="s">
        <v>1700</v>
      </c>
      <c r="P54" s="148" t="s">
        <v>70</v>
      </c>
      <c r="Q54" s="150" t="s">
        <v>71</v>
      </c>
      <c r="R54" s="148" t="s">
        <v>1701</v>
      </c>
      <c r="S54" s="148">
        <v>93.98</v>
      </c>
      <c r="T54" s="148">
        <v>2</v>
      </c>
      <c r="U54" s="148">
        <v>0</v>
      </c>
      <c r="V54" s="148">
        <v>13.1572</v>
      </c>
      <c r="W54" s="148" t="s">
        <v>1754</v>
      </c>
      <c r="X54" s="151">
        <v>46152.605972337966</v>
      </c>
      <c r="Y54" s="156"/>
      <c r="Z54" s="165"/>
      <c r="AA54" s="156"/>
      <c r="AB54" s="156"/>
      <c r="AC54" s="156"/>
      <c r="AD54" s="156"/>
      <c r="AE54" s="156"/>
      <c r="AF54" s="156"/>
      <c r="AG54" s="156"/>
      <c r="AH54" s="156"/>
      <c r="AI54" s="195"/>
    </row>
    <row r="55" spans="1:35" ht="15" thickBot="1" x14ac:dyDescent="0.4">
      <c r="A55" s="157"/>
      <c r="B55" s="158"/>
      <c r="C55" s="158"/>
      <c r="D55" s="158"/>
      <c r="E55" s="158"/>
      <c r="F55" s="158"/>
      <c r="G55" s="158"/>
      <c r="H55" s="158"/>
      <c r="I55" s="158"/>
      <c r="J55" s="158"/>
      <c r="K55" s="158"/>
      <c r="L55" s="158"/>
      <c r="M55" s="158"/>
      <c r="N55" s="158"/>
      <c r="O55" s="158"/>
      <c r="P55" s="158"/>
      <c r="Q55" s="158"/>
      <c r="R55" s="158"/>
      <c r="S55" s="158"/>
      <c r="T55" s="158"/>
      <c r="U55" s="158"/>
      <c r="V55" s="158"/>
      <c r="W55" s="158"/>
      <c r="X55" s="158"/>
      <c r="Y55" s="158"/>
      <c r="Z55" s="166"/>
      <c r="AA55" s="158"/>
      <c r="AB55" s="158"/>
      <c r="AC55" s="158"/>
      <c r="AD55" s="158"/>
      <c r="AE55" s="158"/>
      <c r="AF55" s="158"/>
      <c r="AG55" s="158"/>
      <c r="AH55" s="158"/>
      <c r="AI55" s="196"/>
    </row>
    <row r="56" spans="1:35" x14ac:dyDescent="0.35">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2"/>
      <c r="AA56" s="2"/>
    </row>
    <row r="57" spans="1:35" x14ac:dyDescent="0.35">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2"/>
      <c r="AA57" s="2"/>
    </row>
    <row r="58" spans="1:35" x14ac:dyDescent="0.3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AA58" s="2"/>
    </row>
    <row r="59" spans="1:35" x14ac:dyDescent="0.35">
      <c r="A59" s="44"/>
      <c r="B59" s="44"/>
      <c r="C59" s="44"/>
      <c r="D59" s="44"/>
      <c r="E59" s="44"/>
      <c r="F59" s="44"/>
      <c r="G59" s="44"/>
      <c r="H59" s="44"/>
      <c r="I59" s="44"/>
      <c r="J59" s="44"/>
      <c r="K59" s="44"/>
      <c r="L59" s="44"/>
      <c r="M59" s="44"/>
      <c r="N59" s="44"/>
      <c r="O59" s="44"/>
      <c r="P59" s="44"/>
      <c r="Q59" s="44"/>
      <c r="R59" s="44"/>
      <c r="S59" s="44"/>
      <c r="T59" s="44"/>
      <c r="U59" s="44"/>
      <c r="V59" s="44"/>
      <c r="W59" s="44"/>
      <c r="X59" s="44"/>
      <c r="Y59" s="44"/>
    </row>
    <row r="60" spans="1:35" x14ac:dyDescent="0.35">
      <c r="A60" s="44"/>
      <c r="B60" s="44"/>
      <c r="C60" s="44"/>
      <c r="D60" s="44"/>
      <c r="E60" s="44"/>
      <c r="F60" s="44"/>
      <c r="G60" s="44"/>
      <c r="H60" s="44"/>
      <c r="I60" s="44"/>
      <c r="J60" s="44"/>
      <c r="K60" s="44"/>
      <c r="L60" s="44"/>
      <c r="M60" s="44"/>
      <c r="N60" s="44"/>
      <c r="O60" s="44"/>
      <c r="P60" s="44"/>
      <c r="Q60" s="44"/>
      <c r="R60" s="44"/>
      <c r="S60" s="44"/>
      <c r="T60" s="44"/>
      <c r="U60" s="44"/>
      <c r="V60" s="44"/>
      <c r="W60" s="44"/>
      <c r="X60" s="44"/>
      <c r="Y60" s="44"/>
    </row>
    <row r="61" spans="1:35" x14ac:dyDescent="0.35">
      <c r="A61" s="44"/>
      <c r="B61" s="44"/>
      <c r="C61" s="44"/>
      <c r="D61" s="44"/>
      <c r="E61" s="44"/>
      <c r="F61" s="44"/>
      <c r="G61" s="44"/>
      <c r="H61" s="44"/>
      <c r="I61" s="44"/>
      <c r="J61" s="44"/>
      <c r="K61" s="44"/>
      <c r="L61" s="44"/>
      <c r="M61" s="44"/>
      <c r="N61" s="44"/>
      <c r="O61" s="44"/>
      <c r="P61" s="44"/>
      <c r="Q61" s="44"/>
      <c r="R61" s="44"/>
      <c r="S61" s="44"/>
      <c r="T61" s="44"/>
      <c r="U61" s="44"/>
      <c r="V61" s="44"/>
      <c r="W61" s="44"/>
      <c r="X61" s="44"/>
      <c r="Y61" s="44"/>
    </row>
    <row r="62" spans="1:35" x14ac:dyDescent="0.35">
      <c r="A62" s="44"/>
      <c r="B62" s="44"/>
      <c r="C62" s="44"/>
      <c r="D62" s="44"/>
      <c r="E62" s="44"/>
      <c r="F62" s="44"/>
      <c r="G62" s="44"/>
      <c r="H62" s="44"/>
      <c r="I62" s="44"/>
      <c r="J62" s="44"/>
      <c r="K62" s="44"/>
      <c r="L62" s="44"/>
      <c r="M62" s="44"/>
      <c r="N62" s="44"/>
      <c r="O62" s="44"/>
      <c r="P62" s="44"/>
      <c r="Q62" s="44"/>
      <c r="R62" s="44"/>
      <c r="S62" s="44"/>
      <c r="T62" s="44"/>
      <c r="U62" s="44"/>
      <c r="V62" s="44"/>
      <c r="W62" s="44"/>
      <c r="X62" s="44"/>
      <c r="Y62" s="44"/>
    </row>
    <row r="63" spans="1:35" x14ac:dyDescent="0.35">
      <c r="A63" s="44"/>
      <c r="B63" s="44"/>
      <c r="C63" s="44"/>
      <c r="D63" s="44"/>
      <c r="E63" s="44"/>
      <c r="F63" s="44"/>
      <c r="G63" s="44"/>
      <c r="H63" s="44"/>
      <c r="I63" s="44"/>
      <c r="J63" s="44"/>
      <c r="K63" s="44"/>
      <c r="L63" s="44"/>
      <c r="M63" s="44"/>
      <c r="N63" s="44"/>
      <c r="O63" s="44"/>
      <c r="P63" s="44"/>
      <c r="Q63" s="44"/>
      <c r="R63" s="44"/>
      <c r="S63" s="44"/>
      <c r="T63" s="44"/>
      <c r="U63" s="44"/>
      <c r="V63" s="44"/>
      <c r="W63" s="44"/>
      <c r="X63" s="44"/>
      <c r="Y63" s="44"/>
    </row>
    <row r="64" spans="1:35" x14ac:dyDescent="0.35">
      <c r="A64" s="44"/>
      <c r="B64" s="44"/>
      <c r="C64" s="44"/>
      <c r="D64" s="44"/>
      <c r="E64" s="44"/>
      <c r="F64" s="44"/>
      <c r="G64" s="44"/>
      <c r="H64" s="44"/>
      <c r="I64" s="44"/>
      <c r="J64" s="44"/>
      <c r="K64" s="44"/>
      <c r="L64" s="44"/>
      <c r="M64" s="44"/>
      <c r="N64" s="44"/>
      <c r="O64" s="44"/>
      <c r="P64" s="44"/>
      <c r="Q64" s="44"/>
      <c r="R64" s="44"/>
      <c r="S64" s="44"/>
      <c r="T64" s="44"/>
      <c r="U64" s="44"/>
      <c r="V64" s="44"/>
      <c r="W64" s="44"/>
      <c r="X64" s="44"/>
      <c r="Y64" s="44"/>
    </row>
    <row r="65" spans="1:25" x14ac:dyDescent="0.35">
      <c r="A65" s="44"/>
      <c r="B65" s="44"/>
      <c r="C65" s="44"/>
      <c r="D65" s="44"/>
      <c r="E65" s="44"/>
      <c r="F65" s="44"/>
      <c r="G65" s="44"/>
      <c r="H65" s="44"/>
      <c r="I65" s="44"/>
      <c r="J65" s="44"/>
      <c r="K65" s="44"/>
      <c r="L65" s="44"/>
      <c r="M65" s="44"/>
      <c r="N65" s="44"/>
      <c r="O65" s="44"/>
      <c r="P65" s="44"/>
      <c r="Q65" s="44"/>
      <c r="R65" s="44"/>
      <c r="S65" s="44"/>
      <c r="T65" s="44"/>
      <c r="U65" s="44"/>
      <c r="V65" s="44"/>
      <c r="W65" s="44"/>
      <c r="X65" s="44"/>
      <c r="Y65" s="44"/>
    </row>
    <row r="66" spans="1:25" x14ac:dyDescent="0.35">
      <c r="A66" s="44"/>
      <c r="B66" s="44"/>
      <c r="C66" s="44"/>
      <c r="D66" s="44"/>
      <c r="E66" s="44"/>
      <c r="F66" s="44"/>
      <c r="G66" s="44"/>
      <c r="H66" s="44"/>
      <c r="I66" s="44"/>
      <c r="J66" s="44"/>
      <c r="K66" s="44"/>
      <c r="L66" s="44"/>
      <c r="M66" s="44"/>
      <c r="N66" s="44"/>
      <c r="O66" s="44"/>
      <c r="P66" s="44"/>
      <c r="Q66" s="44"/>
      <c r="R66" s="44"/>
      <c r="S66" s="44"/>
      <c r="T66" s="44"/>
      <c r="U66" s="44"/>
      <c r="V66" s="44"/>
      <c r="W66" s="44"/>
      <c r="X66" s="44"/>
      <c r="Y66" s="44"/>
    </row>
    <row r="67" spans="1:25" x14ac:dyDescent="0.35">
      <c r="A67" s="44"/>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5" x14ac:dyDescent="0.35">
      <c r="A68" s="44"/>
      <c r="B68" s="44"/>
      <c r="C68" s="44"/>
      <c r="D68" s="44"/>
      <c r="E68" s="44"/>
      <c r="F68" s="44"/>
      <c r="G68" s="44"/>
      <c r="H68" s="44"/>
      <c r="I68" s="44"/>
      <c r="J68" s="44"/>
      <c r="K68" s="44"/>
      <c r="L68" s="44"/>
      <c r="M68" s="44"/>
      <c r="N68" s="44"/>
      <c r="O68" s="44"/>
      <c r="P68" s="44"/>
      <c r="Q68" s="44"/>
      <c r="R68" s="44"/>
      <c r="S68" s="44"/>
      <c r="T68" s="44"/>
      <c r="U68" s="44"/>
      <c r="V68" s="44"/>
      <c r="W68" s="44"/>
      <c r="X68" s="44"/>
      <c r="Y68" s="44"/>
    </row>
    <row r="69" spans="1:25" x14ac:dyDescent="0.35">
      <c r="A69" s="44"/>
      <c r="B69" s="44"/>
      <c r="C69" s="44"/>
      <c r="D69" s="44"/>
      <c r="E69" s="44"/>
      <c r="F69" s="44"/>
      <c r="G69" s="44"/>
      <c r="H69" s="44"/>
      <c r="I69" s="44"/>
      <c r="J69" s="44"/>
      <c r="K69" s="44"/>
      <c r="L69" s="44"/>
      <c r="M69" s="44"/>
      <c r="N69" s="44"/>
      <c r="O69" s="44"/>
      <c r="P69" s="44"/>
      <c r="Q69" s="44"/>
      <c r="R69" s="44"/>
      <c r="S69" s="44"/>
      <c r="T69" s="44"/>
      <c r="U69" s="44"/>
      <c r="V69" s="44"/>
      <c r="W69" s="44"/>
      <c r="X69" s="44"/>
      <c r="Y69" s="44"/>
    </row>
    <row r="70" spans="1:25" x14ac:dyDescent="0.35">
      <c r="A70" s="44"/>
      <c r="B70" s="44"/>
      <c r="C70" s="44"/>
      <c r="D70" s="44"/>
      <c r="E70" s="44"/>
      <c r="F70" s="44"/>
      <c r="G70" s="44"/>
      <c r="H70" s="44"/>
      <c r="I70" s="44"/>
      <c r="J70" s="44"/>
      <c r="K70" s="44"/>
      <c r="L70" s="44"/>
      <c r="M70" s="44"/>
      <c r="N70" s="44"/>
      <c r="O70" s="44"/>
      <c r="P70" s="44"/>
      <c r="Q70" s="44"/>
      <c r="R70" s="44"/>
      <c r="S70" s="44"/>
      <c r="T70" s="44"/>
      <c r="U70" s="44"/>
      <c r="V70" s="44"/>
      <c r="W70" s="44"/>
      <c r="X70" s="44"/>
      <c r="Y70" s="44"/>
    </row>
    <row r="71" spans="1:25" x14ac:dyDescent="0.35">
      <c r="A71" s="44"/>
      <c r="B71" s="44"/>
      <c r="C71" s="44"/>
      <c r="D71" s="44"/>
      <c r="E71" s="44"/>
      <c r="F71" s="44"/>
      <c r="G71" s="44"/>
      <c r="H71" s="44"/>
      <c r="I71" s="44"/>
      <c r="J71" s="44"/>
      <c r="K71" s="44"/>
      <c r="L71" s="44"/>
      <c r="M71" s="44"/>
      <c r="N71" s="44"/>
      <c r="O71" s="44"/>
      <c r="P71" s="44"/>
      <c r="Q71" s="44"/>
      <c r="R71" s="44"/>
      <c r="S71" s="44"/>
      <c r="T71" s="44"/>
      <c r="U71" s="44"/>
      <c r="V71" s="44"/>
      <c r="W71" s="44"/>
      <c r="X71" s="44"/>
      <c r="Y71" s="44"/>
    </row>
    <row r="72" spans="1:25" x14ac:dyDescent="0.35">
      <c r="A72" s="44"/>
      <c r="B72" s="44"/>
      <c r="C72" s="44"/>
      <c r="D72" s="44"/>
      <c r="E72" s="44"/>
      <c r="F72" s="44"/>
      <c r="G72" s="44"/>
      <c r="H72" s="44"/>
      <c r="I72" s="44"/>
      <c r="J72" s="44"/>
      <c r="K72" s="44"/>
      <c r="L72" s="44"/>
      <c r="M72" s="44"/>
      <c r="N72" s="44"/>
      <c r="O72" s="44"/>
      <c r="P72" s="44"/>
      <c r="Q72" s="44"/>
      <c r="R72" s="44"/>
      <c r="S72" s="44"/>
      <c r="T72" s="44"/>
      <c r="U72" s="44"/>
      <c r="V72" s="44"/>
      <c r="W72" s="44"/>
      <c r="X72" s="44"/>
      <c r="Y72" s="44"/>
    </row>
    <row r="73" spans="1:25" x14ac:dyDescent="0.35">
      <c r="A73" s="44"/>
      <c r="B73" s="44"/>
      <c r="C73" s="44"/>
      <c r="D73" s="44"/>
      <c r="E73" s="44"/>
      <c r="F73" s="44"/>
      <c r="G73" s="44"/>
      <c r="H73" s="44"/>
      <c r="I73" s="44"/>
      <c r="J73" s="44"/>
      <c r="K73" s="44"/>
      <c r="L73" s="44"/>
      <c r="M73" s="44"/>
      <c r="N73" s="44"/>
      <c r="O73" s="44"/>
      <c r="P73" s="44"/>
      <c r="Q73" s="44"/>
      <c r="R73" s="44"/>
      <c r="S73" s="44"/>
      <c r="T73" s="44"/>
      <c r="U73" s="44"/>
      <c r="V73" s="44"/>
      <c r="W73" s="44"/>
      <c r="X73" s="44"/>
      <c r="Y73" s="44"/>
    </row>
    <row r="74" spans="1:25" x14ac:dyDescent="0.35">
      <c r="A74" s="44"/>
      <c r="B74" s="44"/>
      <c r="C74" s="44"/>
      <c r="D74" s="44"/>
      <c r="E74" s="44"/>
      <c r="F74" s="44"/>
      <c r="G74" s="44"/>
      <c r="H74" s="44"/>
      <c r="I74" s="44"/>
      <c r="J74" s="44"/>
      <c r="K74" s="44"/>
      <c r="L74" s="44"/>
      <c r="M74" s="44"/>
      <c r="N74" s="44"/>
      <c r="O74" s="44"/>
      <c r="P74" s="44"/>
      <c r="Q74" s="44"/>
      <c r="R74" s="44"/>
      <c r="S74" s="44"/>
      <c r="T74" s="44"/>
      <c r="U74" s="44"/>
      <c r="V74" s="44"/>
      <c r="W74" s="44"/>
      <c r="X74" s="44"/>
      <c r="Y74" s="44"/>
    </row>
    <row r="75" spans="1:25" x14ac:dyDescent="0.35">
      <c r="A75" s="44"/>
      <c r="B75" s="44"/>
      <c r="C75" s="44"/>
      <c r="D75" s="44"/>
      <c r="E75" s="44"/>
      <c r="F75" s="44"/>
      <c r="G75" s="44"/>
      <c r="H75" s="44"/>
      <c r="I75" s="44"/>
      <c r="J75" s="44"/>
      <c r="K75" s="44"/>
      <c r="L75" s="44"/>
      <c r="M75" s="44"/>
      <c r="N75" s="44"/>
      <c r="O75" s="44"/>
      <c r="P75" s="44"/>
      <c r="Q75" s="44"/>
      <c r="R75" s="44"/>
      <c r="S75" s="44"/>
      <c r="T75" s="44"/>
      <c r="U75" s="44"/>
      <c r="V75" s="44"/>
      <c r="W75" s="44"/>
      <c r="X75" s="44"/>
      <c r="Y75" s="44"/>
    </row>
    <row r="76" spans="1:25" x14ac:dyDescent="0.35">
      <c r="A76" s="44"/>
      <c r="B76" s="44"/>
      <c r="C76" s="44"/>
      <c r="D76" s="44"/>
      <c r="E76" s="44"/>
      <c r="F76" s="44"/>
      <c r="G76" s="44"/>
      <c r="H76" s="44"/>
      <c r="I76" s="44"/>
      <c r="J76" s="44"/>
      <c r="K76" s="44"/>
      <c r="L76" s="44"/>
      <c r="M76" s="44"/>
      <c r="N76" s="44"/>
      <c r="O76" s="44"/>
      <c r="P76" s="44"/>
      <c r="Q76" s="44"/>
      <c r="R76" s="44"/>
      <c r="S76" s="44"/>
      <c r="T76" s="44"/>
      <c r="U76" s="44"/>
      <c r="V76" s="44"/>
      <c r="W76" s="44"/>
      <c r="X76" s="44"/>
      <c r="Y76" s="44"/>
    </row>
    <row r="77" spans="1:25" x14ac:dyDescent="0.35">
      <c r="A77" s="44"/>
      <c r="B77" s="44"/>
      <c r="C77" s="44"/>
      <c r="D77" s="44"/>
      <c r="E77" s="44"/>
      <c r="F77" s="44"/>
      <c r="G77" s="44"/>
      <c r="H77" s="44"/>
      <c r="I77" s="44"/>
      <c r="J77" s="44"/>
      <c r="K77" s="44"/>
      <c r="L77" s="44"/>
      <c r="M77" s="44"/>
      <c r="N77" s="44"/>
      <c r="O77" s="44"/>
      <c r="P77" s="44"/>
      <c r="Q77" s="44"/>
      <c r="R77" s="44"/>
      <c r="S77" s="44"/>
      <c r="T77" s="44"/>
      <c r="U77" s="44"/>
      <c r="V77" s="44"/>
      <c r="W77" s="44"/>
      <c r="X77" s="44"/>
      <c r="Y77" s="44"/>
    </row>
    <row r="78" spans="1:25" x14ac:dyDescent="0.35">
      <c r="A78" s="44"/>
      <c r="B78" s="44"/>
      <c r="C78" s="44"/>
      <c r="D78" s="44"/>
      <c r="E78" s="44"/>
      <c r="F78" s="44"/>
      <c r="G78" s="44"/>
      <c r="H78" s="44"/>
      <c r="I78" s="44"/>
      <c r="J78" s="44"/>
      <c r="K78" s="44"/>
      <c r="L78" s="44"/>
      <c r="M78" s="44"/>
      <c r="N78" s="44"/>
      <c r="O78" s="44"/>
      <c r="P78" s="44"/>
      <c r="Q78" s="44"/>
      <c r="R78" s="44"/>
      <c r="S78" s="44"/>
      <c r="T78" s="44"/>
      <c r="U78" s="44"/>
      <c r="V78" s="44"/>
      <c r="W78" s="44"/>
      <c r="X78" s="44"/>
      <c r="Y78" s="44"/>
    </row>
    <row r="79" spans="1:25" x14ac:dyDescent="0.35">
      <c r="A79" s="44"/>
      <c r="B79" s="44"/>
      <c r="C79" s="44"/>
      <c r="D79" s="44"/>
      <c r="E79" s="44"/>
      <c r="F79" s="44"/>
      <c r="G79" s="44"/>
      <c r="H79" s="44"/>
      <c r="I79" s="44"/>
      <c r="J79" s="44"/>
      <c r="K79" s="44"/>
      <c r="L79" s="44"/>
      <c r="M79" s="44"/>
      <c r="N79" s="44"/>
      <c r="O79" s="44"/>
      <c r="P79" s="44"/>
      <c r="Q79" s="44"/>
      <c r="R79" s="44"/>
      <c r="S79" s="44"/>
      <c r="T79" s="44"/>
      <c r="U79" s="44"/>
      <c r="V79" s="44"/>
      <c r="W79" s="44"/>
      <c r="X79" s="44"/>
      <c r="Y79" s="44"/>
    </row>
    <row r="80" spans="1:25" x14ac:dyDescent="0.35">
      <c r="A80" s="44"/>
      <c r="B80" s="44"/>
      <c r="C80" s="44"/>
      <c r="D80" s="44"/>
      <c r="E80" s="44"/>
      <c r="F80" s="44"/>
      <c r="G80" s="44"/>
      <c r="H80" s="44"/>
      <c r="I80" s="44"/>
      <c r="J80" s="44"/>
      <c r="K80" s="44"/>
      <c r="L80" s="44"/>
      <c r="M80" s="44"/>
      <c r="N80" s="44"/>
      <c r="O80" s="44"/>
      <c r="P80" s="44"/>
      <c r="Q80" s="44"/>
      <c r="R80" s="44"/>
      <c r="S80" s="44"/>
      <c r="T80" s="44"/>
      <c r="U80" s="44"/>
      <c r="V80" s="44"/>
      <c r="W80" s="44"/>
      <c r="X80" s="44"/>
      <c r="Y80" s="44"/>
    </row>
    <row r="81" spans="1:25" x14ac:dyDescent="0.35">
      <c r="A81" s="44"/>
      <c r="B81" s="44"/>
      <c r="C81" s="44"/>
      <c r="D81" s="44"/>
      <c r="E81" s="44"/>
      <c r="F81" s="44"/>
      <c r="G81" s="44"/>
      <c r="H81" s="44"/>
      <c r="I81" s="44"/>
      <c r="J81" s="44"/>
      <c r="K81" s="44"/>
      <c r="L81" s="44"/>
      <c r="M81" s="44"/>
      <c r="N81" s="44"/>
      <c r="O81" s="44"/>
      <c r="P81" s="44"/>
      <c r="Q81" s="44"/>
      <c r="R81" s="44"/>
      <c r="S81" s="44"/>
      <c r="T81" s="44"/>
      <c r="U81" s="44"/>
      <c r="V81" s="44"/>
      <c r="W81" s="44"/>
      <c r="X81" s="44"/>
      <c r="Y81" s="44"/>
    </row>
    <row r="82" spans="1:25" x14ac:dyDescent="0.35">
      <c r="A82" s="44"/>
      <c r="B82" s="44"/>
      <c r="C82" s="44"/>
      <c r="D82" s="44"/>
      <c r="E82" s="44"/>
      <c r="F82" s="44"/>
      <c r="G82" s="44"/>
      <c r="H82" s="44"/>
      <c r="I82" s="44"/>
      <c r="J82" s="44"/>
      <c r="K82" s="44"/>
      <c r="L82" s="44"/>
      <c r="M82" s="44"/>
      <c r="N82" s="44"/>
      <c r="O82" s="44"/>
      <c r="P82" s="44"/>
      <c r="Q82" s="44"/>
      <c r="R82" s="44"/>
      <c r="S82" s="44"/>
      <c r="T82" s="44"/>
      <c r="U82" s="44"/>
      <c r="V82" s="44"/>
      <c r="W82" s="44"/>
      <c r="X82" s="44"/>
      <c r="Y82" s="44"/>
    </row>
  </sheetData>
  <scenarios current="0" sqref="AD10">
    <scenario name="Low Sale" count="2" user="Admin" comment="Created by Admin on 5/10/2026">
      <inputCells r="AD8" val="5"/>
      <inputCells r="AD9" val="200"/>
    </scenario>
    <scenario name="High Sale" count="2" user="Admin" comment="Created by Admin on 5/10/2026">
      <inputCells r="AD8" val="20"/>
      <inputCells r="AD9" val="500"/>
    </scenario>
  </scenarios>
  <mergeCells count="29">
    <mergeCell ref="B1:P3"/>
    <mergeCell ref="B18:Q20"/>
    <mergeCell ref="R2:S3"/>
    <mergeCell ref="V5:Y6"/>
    <mergeCell ref="AB5:AE6"/>
    <mergeCell ref="V1:AE3"/>
    <mergeCell ref="H13:K13"/>
    <mergeCell ref="H14:I15"/>
    <mergeCell ref="J14:K15"/>
    <mergeCell ref="O8:P8"/>
    <mergeCell ref="J5:K6"/>
    <mergeCell ref="H5:I6"/>
    <mergeCell ref="M8:N8"/>
    <mergeCell ref="B14:C15"/>
    <mergeCell ref="D14:E15"/>
    <mergeCell ref="H8:I9"/>
    <mergeCell ref="J8:K9"/>
    <mergeCell ref="B13:E13"/>
    <mergeCell ref="H7:K7"/>
    <mergeCell ref="H11:I12"/>
    <mergeCell ref="J11:K12"/>
    <mergeCell ref="B5:C6"/>
    <mergeCell ref="D5:E6"/>
    <mergeCell ref="B8:C9"/>
    <mergeCell ref="D8:E9"/>
    <mergeCell ref="B7:E7"/>
    <mergeCell ref="B11:C12"/>
    <mergeCell ref="D11:E12"/>
    <mergeCell ref="B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E4560-505B-40FF-B07F-84B5B2FE62F2}">
  <dimension ref="A1:S50"/>
  <sheetViews>
    <sheetView workbookViewId="0">
      <selection activeCell="G16" sqref="G16"/>
    </sheetView>
  </sheetViews>
  <sheetFormatPr defaultRowHeight="14.5" x14ac:dyDescent="0.35"/>
  <cols>
    <col min="2" max="2" width="12.36328125" bestFit="1" customWidth="1"/>
    <col min="3" max="3" width="11.26953125" bestFit="1" customWidth="1"/>
    <col min="5" max="5" width="12.36328125" bestFit="1" customWidth="1"/>
    <col min="6" max="6" width="11.81640625" bestFit="1" customWidth="1"/>
    <col min="8" max="8" width="12.36328125" bestFit="1" customWidth="1"/>
    <col min="9" max="9" width="11.26953125" bestFit="1" customWidth="1"/>
  </cols>
  <sheetData>
    <row r="1" spans="1:19" x14ac:dyDescent="0.35">
      <c r="A1" s="9"/>
      <c r="B1" s="9"/>
      <c r="C1" s="9"/>
      <c r="D1" s="9"/>
      <c r="E1" s="9"/>
      <c r="F1" s="9"/>
      <c r="G1" s="9"/>
      <c r="H1" s="9"/>
      <c r="I1" s="9"/>
      <c r="J1" s="9"/>
      <c r="K1" s="9"/>
      <c r="L1" s="9"/>
      <c r="M1" s="9"/>
      <c r="N1" s="9"/>
      <c r="O1" s="9"/>
      <c r="P1" s="9"/>
      <c r="Q1" s="9"/>
      <c r="R1" s="9"/>
      <c r="S1" s="9"/>
    </row>
    <row r="2" spans="1:19" ht="15" thickBot="1" x14ac:dyDescent="0.4">
      <c r="A2" s="9"/>
      <c r="B2" s="9"/>
      <c r="C2" s="9"/>
      <c r="D2" s="9"/>
      <c r="E2" s="9"/>
      <c r="F2" s="9"/>
      <c r="G2" s="9"/>
      <c r="H2" s="9"/>
      <c r="I2" s="9"/>
      <c r="J2" s="9"/>
      <c r="K2" s="9"/>
      <c r="L2" s="9"/>
      <c r="M2" s="9"/>
      <c r="N2" s="9"/>
      <c r="O2" s="9"/>
      <c r="P2" s="9"/>
      <c r="Q2" s="9"/>
      <c r="R2" s="9"/>
      <c r="S2" s="9"/>
    </row>
    <row r="3" spans="1:19" x14ac:dyDescent="0.35">
      <c r="A3" s="9"/>
      <c r="B3" s="26" t="s">
        <v>1729</v>
      </c>
      <c r="C3" s="19"/>
      <c r="D3" s="9"/>
      <c r="E3" s="26" t="s">
        <v>1730</v>
      </c>
      <c r="F3" s="19"/>
      <c r="G3" s="9"/>
      <c r="H3" s="25" t="s">
        <v>1731</v>
      </c>
      <c r="I3" s="22"/>
      <c r="J3" s="9"/>
      <c r="K3" s="9"/>
      <c r="L3" s="9"/>
      <c r="M3" s="9"/>
      <c r="N3" s="9"/>
      <c r="O3" s="9"/>
      <c r="P3" s="9"/>
      <c r="Q3" s="9"/>
      <c r="R3" s="9"/>
      <c r="S3" s="9"/>
    </row>
    <row r="4" spans="1:19" ht="15" thickBot="1" x14ac:dyDescent="0.4">
      <c r="A4" s="9"/>
      <c r="B4" s="20"/>
      <c r="C4" s="21"/>
      <c r="D4" s="9"/>
      <c r="E4" s="20"/>
      <c r="F4" s="21"/>
      <c r="G4" s="9"/>
      <c r="H4" s="23"/>
      <c r="I4" s="24"/>
      <c r="J4" s="9"/>
      <c r="K4" s="9"/>
      <c r="L4" s="9"/>
      <c r="M4" s="9"/>
      <c r="N4" s="9"/>
      <c r="O4" s="9"/>
      <c r="P4" s="9"/>
      <c r="Q4" s="9"/>
      <c r="R4" s="9"/>
      <c r="S4" s="9"/>
    </row>
    <row r="5" spans="1:19" ht="15" thickBot="1" x14ac:dyDescent="0.4">
      <c r="A5" s="9"/>
      <c r="B5" s="9"/>
      <c r="C5" s="9"/>
      <c r="D5" s="9"/>
      <c r="E5" s="9"/>
      <c r="F5" s="9"/>
      <c r="G5" s="9"/>
      <c r="H5" s="9"/>
      <c r="I5" s="9"/>
      <c r="J5" s="9"/>
      <c r="K5" s="9"/>
      <c r="L5" s="9"/>
      <c r="M5" s="9"/>
      <c r="N5" s="9"/>
      <c r="O5" s="9"/>
      <c r="P5" s="9"/>
      <c r="Q5" s="9"/>
      <c r="R5" s="9"/>
      <c r="S5" s="9"/>
    </row>
    <row r="6" spans="1:19" ht="15" thickBot="1" x14ac:dyDescent="0.4">
      <c r="A6" s="9"/>
      <c r="B6" s="13" t="s">
        <v>1721</v>
      </c>
      <c r="C6" s="18" t="s">
        <v>1723</v>
      </c>
      <c r="D6" s="9"/>
      <c r="E6" s="13" t="s">
        <v>1721</v>
      </c>
      <c r="F6" s="18" t="s">
        <v>1724</v>
      </c>
      <c r="G6" s="9"/>
      <c r="H6" s="13" t="s">
        <v>1721</v>
      </c>
      <c r="I6" s="18" t="s">
        <v>1723</v>
      </c>
      <c r="J6" s="9"/>
      <c r="K6" s="9"/>
      <c r="L6" s="9"/>
      <c r="M6" s="9"/>
      <c r="N6" s="9"/>
      <c r="O6" s="9"/>
      <c r="P6" s="9"/>
      <c r="Q6" s="9"/>
      <c r="R6" s="9"/>
      <c r="S6" s="9"/>
    </row>
    <row r="7" spans="1:19" ht="15" thickBot="1" x14ac:dyDescent="0.4">
      <c r="A7" s="9"/>
      <c r="B7" s="17" t="s">
        <v>70</v>
      </c>
      <c r="C7" s="10">
        <v>9345.5580000000009</v>
      </c>
      <c r="D7" s="9"/>
      <c r="E7" s="17" t="s">
        <v>147</v>
      </c>
      <c r="F7" s="10">
        <v>959.45640000000003</v>
      </c>
      <c r="G7" s="9"/>
      <c r="H7" s="14" t="s">
        <v>1725</v>
      </c>
      <c r="I7" s="10">
        <v>4929.8180000000002</v>
      </c>
      <c r="J7" s="9"/>
      <c r="K7" s="9"/>
      <c r="L7" s="9"/>
      <c r="M7" s="9"/>
      <c r="N7" s="9"/>
      <c r="O7" s="9"/>
      <c r="P7" s="9"/>
      <c r="Q7" s="9"/>
      <c r="R7" s="9"/>
      <c r="S7" s="9"/>
    </row>
    <row r="8" spans="1:19" ht="15" thickBot="1" x14ac:dyDescent="0.4">
      <c r="A8" s="9"/>
      <c r="B8" s="17" t="s">
        <v>1722</v>
      </c>
      <c r="C8" s="12">
        <v>9345.5580000000009</v>
      </c>
      <c r="D8" s="9"/>
      <c r="E8" s="17" t="s">
        <v>1722</v>
      </c>
      <c r="F8" s="12">
        <v>959.45640000000003</v>
      </c>
      <c r="G8" s="9"/>
      <c r="H8" s="15" t="s">
        <v>1726</v>
      </c>
      <c r="I8" s="11">
        <v>2429.0380000000005</v>
      </c>
      <c r="J8" s="9"/>
      <c r="K8" s="9"/>
      <c r="L8" s="9"/>
      <c r="M8" s="9"/>
      <c r="N8" s="9"/>
      <c r="O8" s="9"/>
      <c r="P8" s="9"/>
      <c r="Q8" s="9"/>
      <c r="R8" s="9"/>
      <c r="S8" s="9"/>
    </row>
    <row r="9" spans="1:19" x14ac:dyDescent="0.35">
      <c r="A9" s="9"/>
      <c r="B9" s="9"/>
      <c r="C9" s="9"/>
      <c r="D9" s="9"/>
      <c r="E9" s="9"/>
      <c r="F9" s="9"/>
      <c r="G9" s="9"/>
      <c r="H9" s="15" t="s">
        <v>1727</v>
      </c>
      <c r="I9" s="11">
        <v>1866.3819999999998</v>
      </c>
      <c r="J9" s="9"/>
      <c r="K9" s="9"/>
      <c r="L9" s="9"/>
      <c r="M9" s="9"/>
      <c r="N9" s="9"/>
      <c r="O9" s="9"/>
      <c r="P9" s="9"/>
      <c r="Q9" s="9"/>
      <c r="R9" s="9"/>
      <c r="S9" s="9"/>
    </row>
    <row r="10" spans="1:19" ht="15" thickBot="1" x14ac:dyDescent="0.4">
      <c r="A10" s="9"/>
      <c r="B10" s="9"/>
      <c r="C10" s="9"/>
      <c r="D10" s="9"/>
      <c r="E10" s="9"/>
      <c r="F10" s="9"/>
      <c r="G10" s="9"/>
      <c r="H10" s="16" t="s">
        <v>1728</v>
      </c>
      <c r="I10" s="11">
        <v>120.32</v>
      </c>
      <c r="J10" s="9"/>
      <c r="K10" s="9"/>
      <c r="L10" s="9"/>
      <c r="M10" s="9"/>
      <c r="N10" s="9"/>
      <c r="O10" s="9"/>
      <c r="P10" s="9"/>
      <c r="Q10" s="9"/>
      <c r="R10" s="9"/>
      <c r="S10" s="9"/>
    </row>
    <row r="11" spans="1:19" ht="15" thickBot="1" x14ac:dyDescent="0.4">
      <c r="A11" s="9"/>
      <c r="B11" s="9"/>
      <c r="C11" s="9"/>
      <c r="D11" s="9"/>
      <c r="E11" s="9"/>
      <c r="F11" s="9"/>
      <c r="G11" s="9"/>
      <c r="H11" s="17" t="s">
        <v>1722</v>
      </c>
      <c r="I11" s="12">
        <v>9345.5580000000009</v>
      </c>
      <c r="J11" s="9"/>
      <c r="K11" s="9"/>
      <c r="L11" s="9"/>
      <c r="M11" s="9"/>
      <c r="N11" s="9"/>
      <c r="O11" s="9"/>
      <c r="P11" s="9"/>
      <c r="Q11" s="9"/>
      <c r="R11" s="9"/>
      <c r="S11" s="9"/>
    </row>
    <row r="12" spans="1:19" x14ac:dyDescent="0.35">
      <c r="A12" s="9"/>
      <c r="B12" s="9"/>
      <c r="C12" s="9"/>
      <c r="D12" s="9"/>
      <c r="E12" s="9"/>
      <c r="F12" s="9"/>
      <c r="G12" s="9"/>
      <c r="H12" s="9"/>
      <c r="I12" s="9"/>
      <c r="J12" s="9"/>
      <c r="K12" s="9"/>
      <c r="L12" s="9"/>
      <c r="M12" s="9"/>
      <c r="N12" s="9"/>
      <c r="O12" s="9"/>
      <c r="P12" s="9"/>
      <c r="Q12" s="9"/>
      <c r="R12" s="9"/>
      <c r="S12" s="9"/>
    </row>
    <row r="13" spans="1:19" x14ac:dyDescent="0.35">
      <c r="A13" s="9"/>
      <c r="B13" s="9"/>
      <c r="C13" s="9"/>
      <c r="D13" s="9"/>
      <c r="E13" s="9"/>
      <c r="F13" s="9"/>
      <c r="G13" s="9"/>
      <c r="H13" s="9"/>
      <c r="I13" s="9"/>
      <c r="J13" s="9"/>
      <c r="K13" s="9"/>
      <c r="L13" s="9"/>
      <c r="M13" s="9"/>
      <c r="N13" s="9"/>
      <c r="O13" s="9"/>
      <c r="P13" s="9"/>
      <c r="Q13" s="9"/>
      <c r="R13" s="9"/>
      <c r="S13" s="9"/>
    </row>
    <row r="14" spans="1:19" x14ac:dyDescent="0.35">
      <c r="A14" s="9"/>
      <c r="B14" s="9"/>
      <c r="C14" s="9"/>
      <c r="D14" s="9"/>
      <c r="E14" s="9"/>
      <c r="F14" s="9"/>
      <c r="G14" s="9"/>
      <c r="H14" s="9"/>
      <c r="I14" s="9"/>
      <c r="J14" s="9"/>
      <c r="K14" s="9"/>
      <c r="L14" s="9"/>
      <c r="M14" s="9"/>
      <c r="N14" s="9"/>
      <c r="O14" s="9"/>
      <c r="P14" s="9"/>
      <c r="Q14" s="9"/>
      <c r="R14" s="9"/>
      <c r="S14" s="9"/>
    </row>
    <row r="15" spans="1:19" x14ac:dyDescent="0.35">
      <c r="A15" s="9"/>
      <c r="B15" s="9"/>
      <c r="C15" s="9"/>
      <c r="D15" s="9"/>
      <c r="E15" s="9"/>
      <c r="F15" s="9"/>
      <c r="G15" s="9"/>
      <c r="H15" s="9"/>
      <c r="I15" s="9"/>
      <c r="J15" s="9"/>
      <c r="K15" s="9"/>
      <c r="L15" s="9"/>
      <c r="M15" s="9"/>
      <c r="N15" s="9"/>
      <c r="O15" s="9"/>
      <c r="P15" s="9"/>
      <c r="Q15" s="9"/>
      <c r="R15" s="9"/>
      <c r="S15" s="9"/>
    </row>
    <row r="16" spans="1:19" x14ac:dyDescent="0.35">
      <c r="A16" s="9"/>
      <c r="B16" s="9"/>
      <c r="C16" s="9"/>
      <c r="D16" s="9"/>
      <c r="E16" s="9"/>
      <c r="F16" s="9"/>
      <c r="G16" s="9"/>
      <c r="H16" s="9"/>
      <c r="I16" s="9"/>
      <c r="J16" s="9"/>
      <c r="K16" s="9"/>
      <c r="L16" s="9"/>
      <c r="M16" s="9"/>
      <c r="N16" s="9"/>
      <c r="O16" s="9"/>
      <c r="P16" s="9"/>
      <c r="Q16" s="9"/>
      <c r="R16" s="9"/>
      <c r="S16" s="9"/>
    </row>
    <row r="17" spans="1:19" x14ac:dyDescent="0.35">
      <c r="A17" s="9"/>
      <c r="B17" s="9"/>
      <c r="C17" s="9"/>
      <c r="D17" s="9"/>
      <c r="E17" s="9"/>
      <c r="F17" s="9"/>
      <c r="G17" s="9"/>
      <c r="H17" s="9"/>
      <c r="I17" s="9"/>
      <c r="J17" s="9"/>
      <c r="K17" s="9"/>
      <c r="L17" s="9"/>
      <c r="M17" s="9"/>
      <c r="N17" s="9"/>
      <c r="O17" s="9"/>
      <c r="P17" s="9"/>
      <c r="Q17" s="9"/>
      <c r="R17" s="9"/>
      <c r="S17" s="9"/>
    </row>
    <row r="18" spans="1:19" x14ac:dyDescent="0.35">
      <c r="A18" s="9"/>
      <c r="B18" s="9"/>
      <c r="C18" s="9"/>
      <c r="D18" s="9"/>
      <c r="E18" s="9"/>
      <c r="F18" s="9"/>
      <c r="G18" s="9"/>
      <c r="H18" s="9"/>
      <c r="I18" s="9"/>
      <c r="J18" s="9"/>
      <c r="K18" s="9"/>
      <c r="L18" s="9"/>
      <c r="M18" s="9"/>
      <c r="N18" s="9"/>
      <c r="O18" s="9"/>
      <c r="P18" s="9"/>
      <c r="Q18" s="9"/>
      <c r="R18" s="9"/>
      <c r="S18" s="9"/>
    </row>
    <row r="19" spans="1:19" x14ac:dyDescent="0.35">
      <c r="A19" s="9"/>
      <c r="B19" s="9"/>
      <c r="C19" s="9"/>
      <c r="D19" s="9"/>
      <c r="E19" s="9"/>
      <c r="F19" s="9"/>
      <c r="G19" s="9"/>
      <c r="H19" s="9"/>
      <c r="I19" s="9"/>
      <c r="J19" s="9"/>
      <c r="K19" s="9"/>
      <c r="L19" s="9"/>
      <c r="M19" s="9"/>
      <c r="N19" s="9"/>
      <c r="O19" s="9"/>
      <c r="P19" s="9"/>
      <c r="Q19" s="9"/>
      <c r="R19" s="9"/>
      <c r="S19" s="9"/>
    </row>
    <row r="20" spans="1:19" x14ac:dyDescent="0.35">
      <c r="A20" s="9"/>
      <c r="B20" s="9"/>
      <c r="C20" s="9"/>
      <c r="D20" s="9"/>
      <c r="E20" s="9"/>
      <c r="F20" s="9"/>
      <c r="G20" s="9"/>
      <c r="H20" s="9"/>
      <c r="I20" s="9"/>
      <c r="J20" s="9"/>
      <c r="K20" s="9"/>
      <c r="L20" s="9"/>
      <c r="M20" s="9"/>
      <c r="N20" s="9"/>
      <c r="O20" s="9"/>
      <c r="P20" s="9"/>
      <c r="Q20" s="9"/>
      <c r="R20" s="9"/>
      <c r="S20" s="9"/>
    </row>
    <row r="21" spans="1:19" x14ac:dyDescent="0.35">
      <c r="A21" s="9"/>
      <c r="B21" s="9"/>
      <c r="C21" s="9"/>
      <c r="D21" s="9"/>
      <c r="E21" s="9"/>
      <c r="F21" s="9"/>
      <c r="G21" s="9"/>
      <c r="H21" s="9"/>
      <c r="I21" s="9"/>
      <c r="J21" s="9"/>
      <c r="K21" s="9"/>
      <c r="L21" s="9"/>
      <c r="M21" s="9"/>
      <c r="N21" s="9"/>
      <c r="O21" s="9"/>
      <c r="P21" s="9"/>
      <c r="Q21" s="9"/>
      <c r="R21" s="9"/>
      <c r="S21" s="9"/>
    </row>
    <row r="22" spans="1:19" x14ac:dyDescent="0.35">
      <c r="A22" s="9"/>
      <c r="B22" s="9"/>
      <c r="C22" s="9"/>
      <c r="D22" s="9"/>
      <c r="E22" s="9"/>
      <c r="F22" s="9"/>
      <c r="G22" s="9"/>
      <c r="H22" s="9"/>
      <c r="I22" s="9"/>
      <c r="J22" s="9"/>
      <c r="K22" s="9"/>
      <c r="L22" s="9"/>
      <c r="M22" s="9"/>
      <c r="N22" s="9"/>
      <c r="O22" s="9"/>
      <c r="P22" s="9"/>
      <c r="Q22" s="9"/>
      <c r="R22" s="9"/>
      <c r="S22" s="9"/>
    </row>
    <row r="23" spans="1:19" x14ac:dyDescent="0.35">
      <c r="A23" s="9"/>
      <c r="B23" s="9"/>
      <c r="C23" s="9"/>
      <c r="D23" s="9"/>
      <c r="E23" s="9"/>
      <c r="F23" s="9"/>
      <c r="G23" s="9"/>
      <c r="H23" s="9"/>
      <c r="I23" s="9"/>
      <c r="J23" s="9"/>
      <c r="K23" s="9"/>
      <c r="L23" s="9"/>
      <c r="M23" s="9"/>
      <c r="N23" s="9"/>
      <c r="O23" s="9"/>
      <c r="P23" s="9"/>
      <c r="Q23" s="9"/>
      <c r="R23" s="9"/>
      <c r="S23" s="9"/>
    </row>
    <row r="24" spans="1:19" x14ac:dyDescent="0.35">
      <c r="A24" s="9"/>
      <c r="B24" s="9"/>
      <c r="C24" s="9"/>
      <c r="D24" s="9"/>
      <c r="E24" s="9"/>
      <c r="F24" s="9"/>
      <c r="G24" s="9"/>
      <c r="H24" s="9"/>
      <c r="I24" s="9"/>
      <c r="J24" s="9"/>
      <c r="K24" s="9"/>
      <c r="L24" s="9"/>
      <c r="M24" s="9"/>
      <c r="N24" s="9"/>
      <c r="O24" s="9"/>
      <c r="P24" s="9"/>
      <c r="Q24" s="9"/>
      <c r="R24" s="9"/>
      <c r="S24" s="9"/>
    </row>
    <row r="25" spans="1:19" x14ac:dyDescent="0.35">
      <c r="A25" s="9"/>
      <c r="B25" s="9"/>
      <c r="C25" s="9"/>
      <c r="D25" s="9"/>
      <c r="E25" s="9"/>
      <c r="F25" s="9"/>
      <c r="G25" s="9"/>
      <c r="H25" s="9"/>
      <c r="I25" s="9"/>
      <c r="J25" s="9"/>
      <c r="K25" s="9"/>
      <c r="L25" s="9"/>
      <c r="M25" s="9"/>
      <c r="N25" s="9"/>
      <c r="O25" s="9"/>
      <c r="P25" s="9"/>
      <c r="Q25" s="9"/>
      <c r="R25" s="9"/>
      <c r="S25" s="9"/>
    </row>
    <row r="26" spans="1:19" x14ac:dyDescent="0.35">
      <c r="A26" s="9"/>
      <c r="B26" s="9"/>
      <c r="C26" s="9"/>
      <c r="D26" s="9"/>
      <c r="E26" s="9"/>
      <c r="F26" s="9"/>
      <c r="G26" s="9"/>
      <c r="H26" s="9"/>
      <c r="I26" s="9"/>
      <c r="J26" s="9"/>
      <c r="K26" s="9"/>
      <c r="L26" s="9"/>
      <c r="M26" s="9"/>
      <c r="N26" s="9"/>
      <c r="O26" s="9"/>
      <c r="P26" s="9"/>
      <c r="Q26" s="9"/>
      <c r="R26" s="9"/>
      <c r="S26" s="9"/>
    </row>
    <row r="27" spans="1:19" x14ac:dyDescent="0.35">
      <c r="A27" s="9"/>
      <c r="B27" s="9"/>
      <c r="C27" s="9"/>
      <c r="D27" s="9"/>
      <c r="E27" s="9"/>
      <c r="F27" s="9"/>
      <c r="G27" s="9"/>
      <c r="H27" s="9"/>
      <c r="I27" s="9"/>
      <c r="J27" s="9"/>
      <c r="K27" s="9"/>
      <c r="L27" s="9"/>
      <c r="M27" s="9"/>
      <c r="N27" s="9"/>
      <c r="O27" s="9"/>
      <c r="P27" s="9"/>
      <c r="Q27" s="9"/>
      <c r="R27" s="9"/>
      <c r="S27" s="9"/>
    </row>
    <row r="28" spans="1:19" x14ac:dyDescent="0.35">
      <c r="A28" s="9"/>
      <c r="B28" s="9"/>
      <c r="C28" s="9"/>
      <c r="D28" s="9"/>
      <c r="E28" s="9"/>
      <c r="F28" s="9"/>
      <c r="G28" s="9"/>
      <c r="H28" s="9"/>
      <c r="I28" s="9"/>
      <c r="J28" s="9"/>
      <c r="K28" s="9"/>
      <c r="L28" s="9"/>
      <c r="M28" s="9"/>
      <c r="N28" s="9"/>
      <c r="O28" s="9"/>
      <c r="P28" s="9"/>
      <c r="Q28" s="9"/>
      <c r="R28" s="9"/>
      <c r="S28" s="9"/>
    </row>
    <row r="29" spans="1:19" x14ac:dyDescent="0.35">
      <c r="A29" s="9"/>
      <c r="B29" s="9"/>
      <c r="C29" s="9"/>
      <c r="D29" s="9"/>
      <c r="E29" s="9"/>
      <c r="F29" s="9"/>
      <c r="G29" s="9"/>
      <c r="H29" s="9"/>
      <c r="I29" s="9"/>
      <c r="J29" s="9"/>
      <c r="K29" s="9"/>
      <c r="L29" s="9"/>
      <c r="M29" s="9"/>
      <c r="N29" s="9"/>
      <c r="O29" s="9"/>
      <c r="P29" s="9"/>
      <c r="Q29" s="9"/>
      <c r="R29" s="9"/>
      <c r="S29" s="9"/>
    </row>
    <row r="30" spans="1:19" x14ac:dyDescent="0.35">
      <c r="A30" s="9"/>
      <c r="B30" s="9"/>
      <c r="C30" s="9"/>
      <c r="D30" s="9"/>
      <c r="E30" s="9"/>
      <c r="F30" s="9"/>
      <c r="G30" s="9"/>
      <c r="H30" s="9"/>
      <c r="I30" s="9"/>
      <c r="J30" s="9"/>
      <c r="K30" s="9"/>
      <c r="L30" s="9"/>
      <c r="M30" s="9"/>
      <c r="N30" s="9"/>
      <c r="O30" s="9"/>
      <c r="P30" s="9"/>
      <c r="Q30" s="9"/>
      <c r="R30" s="9"/>
      <c r="S30" s="9"/>
    </row>
    <row r="31" spans="1:19" x14ac:dyDescent="0.35">
      <c r="A31" s="9"/>
      <c r="B31" s="9"/>
      <c r="C31" s="9"/>
      <c r="D31" s="9"/>
      <c r="E31" s="9"/>
      <c r="F31" s="9"/>
      <c r="G31" s="9"/>
      <c r="H31" s="9"/>
      <c r="I31" s="9"/>
      <c r="J31" s="9"/>
      <c r="K31" s="9"/>
      <c r="L31" s="9"/>
      <c r="M31" s="9"/>
      <c r="N31" s="9"/>
      <c r="O31" s="9"/>
      <c r="P31" s="9"/>
      <c r="Q31" s="9"/>
      <c r="R31" s="9"/>
      <c r="S31" s="9"/>
    </row>
    <row r="32" spans="1:19" x14ac:dyDescent="0.35">
      <c r="A32" s="9"/>
      <c r="B32" s="9"/>
      <c r="C32" s="9"/>
      <c r="D32" s="9"/>
      <c r="E32" s="9"/>
      <c r="F32" s="9"/>
      <c r="G32" s="9"/>
      <c r="H32" s="9"/>
      <c r="I32" s="9"/>
      <c r="J32" s="9"/>
      <c r="K32" s="9"/>
      <c r="L32" s="9"/>
      <c r="M32" s="9"/>
      <c r="N32" s="9"/>
      <c r="O32" s="9"/>
      <c r="P32" s="9"/>
      <c r="Q32" s="9"/>
      <c r="R32" s="9"/>
      <c r="S32" s="9"/>
    </row>
    <row r="33" spans="1:19" x14ac:dyDescent="0.35">
      <c r="A33" s="9"/>
      <c r="B33" s="9"/>
      <c r="C33" s="9"/>
      <c r="D33" s="9"/>
      <c r="E33" s="9"/>
      <c r="F33" s="9"/>
      <c r="G33" s="9"/>
      <c r="H33" s="9"/>
      <c r="I33" s="9"/>
      <c r="J33" s="9"/>
      <c r="K33" s="9"/>
      <c r="L33" s="9"/>
      <c r="M33" s="9"/>
      <c r="N33" s="9"/>
      <c r="O33" s="9"/>
      <c r="P33" s="9"/>
      <c r="Q33" s="9"/>
      <c r="R33" s="9"/>
      <c r="S33" s="9"/>
    </row>
    <row r="34" spans="1:19" x14ac:dyDescent="0.35">
      <c r="A34" s="9"/>
      <c r="B34" s="9"/>
      <c r="C34" s="9"/>
      <c r="D34" s="9"/>
      <c r="E34" s="9"/>
      <c r="F34" s="9"/>
      <c r="G34" s="9"/>
      <c r="H34" s="9"/>
      <c r="I34" s="9"/>
      <c r="J34" s="9"/>
      <c r="K34" s="9"/>
      <c r="L34" s="9"/>
      <c r="M34" s="9"/>
      <c r="N34" s="9"/>
      <c r="O34" s="9"/>
      <c r="P34" s="9"/>
      <c r="Q34" s="9"/>
      <c r="R34" s="9"/>
      <c r="S34" s="9"/>
    </row>
    <row r="35" spans="1:19" x14ac:dyDescent="0.35">
      <c r="A35" s="9"/>
      <c r="B35" s="9"/>
      <c r="C35" s="9"/>
      <c r="D35" s="9"/>
      <c r="E35" s="9"/>
      <c r="F35" s="9"/>
      <c r="G35" s="9"/>
      <c r="H35" s="9"/>
      <c r="I35" s="9"/>
      <c r="J35" s="9"/>
      <c r="K35" s="9"/>
      <c r="L35" s="9"/>
      <c r="M35" s="9"/>
      <c r="N35" s="9"/>
      <c r="O35" s="9"/>
      <c r="P35" s="9"/>
      <c r="Q35" s="9"/>
      <c r="R35" s="9"/>
      <c r="S35" s="9"/>
    </row>
    <row r="36" spans="1:19" x14ac:dyDescent="0.35">
      <c r="A36" s="9"/>
      <c r="B36" s="9"/>
      <c r="C36" s="9"/>
      <c r="D36" s="9"/>
      <c r="E36" s="9"/>
      <c r="F36" s="9"/>
      <c r="G36" s="9"/>
      <c r="H36" s="9"/>
      <c r="I36" s="9"/>
      <c r="J36" s="9"/>
      <c r="K36" s="9"/>
      <c r="L36" s="9"/>
      <c r="M36" s="9"/>
      <c r="N36" s="9"/>
      <c r="O36" s="9"/>
      <c r="P36" s="9"/>
      <c r="Q36" s="9"/>
      <c r="R36" s="9"/>
      <c r="S36" s="9"/>
    </row>
    <row r="37" spans="1:19" x14ac:dyDescent="0.35">
      <c r="A37" s="9"/>
      <c r="B37" s="9"/>
      <c r="C37" s="9"/>
      <c r="D37" s="9"/>
      <c r="E37" s="9"/>
      <c r="F37" s="9"/>
      <c r="G37" s="9"/>
      <c r="H37" s="9"/>
      <c r="I37" s="9"/>
      <c r="J37" s="9"/>
      <c r="K37" s="9"/>
      <c r="L37" s="9"/>
      <c r="M37" s="9"/>
      <c r="N37" s="9"/>
      <c r="O37" s="9"/>
      <c r="P37" s="9"/>
      <c r="Q37" s="9"/>
      <c r="R37" s="9"/>
      <c r="S37" s="9"/>
    </row>
    <row r="38" spans="1:19" x14ac:dyDescent="0.35">
      <c r="A38" s="9"/>
      <c r="B38" s="9"/>
      <c r="C38" s="9"/>
      <c r="D38" s="9"/>
      <c r="E38" s="9"/>
      <c r="F38" s="9"/>
      <c r="G38" s="9"/>
      <c r="H38" s="9"/>
      <c r="I38" s="9"/>
      <c r="J38" s="9"/>
      <c r="K38" s="9"/>
      <c r="L38" s="9"/>
      <c r="M38" s="9"/>
      <c r="N38" s="9"/>
      <c r="O38" s="9"/>
      <c r="P38" s="9"/>
      <c r="Q38" s="9"/>
      <c r="R38" s="9"/>
      <c r="S38" s="9"/>
    </row>
    <row r="39" spans="1:19" x14ac:dyDescent="0.35">
      <c r="A39" s="9"/>
      <c r="B39" s="9"/>
      <c r="C39" s="9"/>
      <c r="D39" s="9"/>
      <c r="E39" s="9"/>
      <c r="F39" s="9"/>
      <c r="G39" s="9"/>
      <c r="H39" s="9"/>
      <c r="I39" s="9"/>
      <c r="J39" s="9"/>
      <c r="K39" s="9"/>
      <c r="L39" s="9"/>
      <c r="M39" s="9"/>
      <c r="N39" s="9"/>
      <c r="O39" s="9"/>
      <c r="P39" s="9"/>
      <c r="Q39" s="9"/>
      <c r="R39" s="9"/>
      <c r="S39" s="9"/>
    </row>
    <row r="40" spans="1:19" x14ac:dyDescent="0.35">
      <c r="A40" s="9"/>
      <c r="B40" s="9"/>
      <c r="C40" s="9"/>
      <c r="D40" s="9"/>
      <c r="E40" s="9"/>
      <c r="F40" s="9"/>
      <c r="G40" s="9"/>
      <c r="H40" s="9"/>
      <c r="I40" s="9"/>
      <c r="J40" s="9"/>
      <c r="K40" s="9"/>
      <c r="L40" s="9"/>
      <c r="M40" s="9"/>
      <c r="N40" s="9"/>
      <c r="O40" s="9"/>
      <c r="P40" s="9"/>
      <c r="Q40" s="9"/>
      <c r="R40" s="9"/>
      <c r="S40" s="9"/>
    </row>
    <row r="41" spans="1:19" x14ac:dyDescent="0.35">
      <c r="A41" s="9"/>
      <c r="B41" s="9"/>
      <c r="C41" s="9"/>
      <c r="D41" s="9"/>
      <c r="E41" s="9"/>
      <c r="F41" s="9"/>
      <c r="G41" s="9"/>
      <c r="H41" s="9"/>
      <c r="I41" s="9"/>
      <c r="J41" s="9"/>
      <c r="K41" s="9"/>
      <c r="L41" s="9"/>
      <c r="M41" s="9"/>
      <c r="N41" s="9"/>
      <c r="O41" s="9"/>
      <c r="P41" s="9"/>
      <c r="Q41" s="9"/>
      <c r="R41" s="9"/>
      <c r="S41" s="9"/>
    </row>
    <row r="42" spans="1:19" x14ac:dyDescent="0.35">
      <c r="A42" s="9"/>
      <c r="B42" s="9"/>
      <c r="C42" s="9"/>
      <c r="D42" s="9"/>
      <c r="E42" s="9"/>
      <c r="F42" s="9"/>
      <c r="G42" s="9"/>
      <c r="H42" s="9"/>
      <c r="I42" s="9"/>
      <c r="J42" s="9"/>
      <c r="K42" s="9"/>
      <c r="L42" s="9"/>
      <c r="M42" s="9"/>
      <c r="N42" s="9"/>
      <c r="O42" s="9"/>
      <c r="P42" s="9"/>
      <c r="Q42" s="9"/>
      <c r="R42" s="9"/>
      <c r="S42" s="9"/>
    </row>
    <row r="43" spans="1:19" x14ac:dyDescent="0.35">
      <c r="A43" s="9"/>
      <c r="B43" s="9"/>
      <c r="C43" s="9"/>
      <c r="D43" s="9"/>
      <c r="E43" s="9"/>
      <c r="F43" s="9"/>
      <c r="G43" s="9"/>
      <c r="H43" s="9"/>
      <c r="I43" s="9"/>
      <c r="J43" s="9"/>
      <c r="K43" s="9"/>
      <c r="L43" s="9"/>
      <c r="M43" s="9"/>
      <c r="N43" s="9"/>
      <c r="O43" s="9"/>
      <c r="P43" s="9"/>
      <c r="Q43" s="9"/>
      <c r="R43" s="9"/>
      <c r="S43" s="9"/>
    </row>
    <row r="44" spans="1:19" x14ac:dyDescent="0.35">
      <c r="A44" s="9"/>
      <c r="B44" s="9"/>
      <c r="C44" s="9"/>
      <c r="D44" s="9"/>
      <c r="E44" s="9"/>
      <c r="F44" s="9"/>
      <c r="G44" s="9"/>
      <c r="H44" s="9"/>
      <c r="I44" s="9"/>
      <c r="J44" s="9"/>
      <c r="K44" s="9"/>
      <c r="L44" s="9"/>
      <c r="M44" s="9"/>
      <c r="N44" s="9"/>
      <c r="O44" s="9"/>
      <c r="P44" s="9"/>
      <c r="Q44" s="9"/>
      <c r="R44" s="9"/>
      <c r="S44" s="9"/>
    </row>
    <row r="45" spans="1:19" x14ac:dyDescent="0.35">
      <c r="A45" s="9"/>
      <c r="B45" s="9"/>
      <c r="C45" s="9"/>
      <c r="D45" s="9"/>
      <c r="E45" s="9"/>
      <c r="F45" s="9"/>
      <c r="G45" s="9"/>
      <c r="H45" s="9"/>
      <c r="I45" s="9"/>
      <c r="J45" s="9"/>
      <c r="K45" s="9"/>
      <c r="L45" s="9"/>
      <c r="M45" s="9"/>
      <c r="N45" s="9"/>
      <c r="O45" s="9"/>
      <c r="P45" s="9"/>
      <c r="Q45" s="9"/>
      <c r="R45" s="9"/>
      <c r="S45" s="9"/>
    </row>
    <row r="46" spans="1:19" x14ac:dyDescent="0.35">
      <c r="A46" s="9"/>
      <c r="B46" s="9"/>
      <c r="C46" s="9"/>
      <c r="D46" s="9"/>
      <c r="E46" s="9"/>
      <c r="F46" s="9"/>
      <c r="G46" s="9"/>
      <c r="H46" s="9"/>
      <c r="I46" s="9"/>
      <c r="J46" s="9"/>
      <c r="K46" s="9"/>
      <c r="L46" s="9"/>
      <c r="M46" s="9"/>
      <c r="N46" s="9"/>
      <c r="O46" s="9"/>
      <c r="P46" s="9"/>
      <c r="Q46" s="9"/>
      <c r="R46" s="9"/>
      <c r="S46" s="9"/>
    </row>
    <row r="47" spans="1:19" x14ac:dyDescent="0.35">
      <c r="A47" s="9"/>
      <c r="B47" s="9"/>
      <c r="C47" s="9"/>
      <c r="D47" s="9"/>
      <c r="E47" s="9"/>
      <c r="F47" s="9"/>
      <c r="G47" s="9"/>
      <c r="H47" s="9"/>
      <c r="I47" s="9"/>
      <c r="J47" s="9"/>
      <c r="K47" s="9"/>
      <c r="L47" s="9"/>
      <c r="M47" s="9"/>
      <c r="N47" s="9"/>
      <c r="O47" s="9"/>
      <c r="P47" s="9"/>
      <c r="Q47" s="9"/>
      <c r="R47" s="9"/>
      <c r="S47" s="9"/>
    </row>
    <row r="48" spans="1:19" x14ac:dyDescent="0.35">
      <c r="A48" s="9"/>
      <c r="B48" s="9"/>
      <c r="C48" s="9"/>
      <c r="D48" s="9"/>
      <c r="E48" s="9"/>
      <c r="F48" s="9"/>
      <c r="G48" s="9"/>
      <c r="H48" s="9"/>
      <c r="I48" s="9"/>
      <c r="J48" s="9"/>
      <c r="K48" s="9"/>
      <c r="L48" s="9"/>
      <c r="M48" s="9"/>
      <c r="N48" s="9"/>
      <c r="O48" s="9"/>
      <c r="P48" s="9"/>
      <c r="Q48" s="9"/>
      <c r="R48" s="9"/>
      <c r="S48" s="9"/>
    </row>
    <row r="49" spans="1:19" x14ac:dyDescent="0.35">
      <c r="A49" s="9"/>
      <c r="B49" s="9"/>
      <c r="C49" s="9"/>
      <c r="D49" s="9"/>
      <c r="E49" s="9"/>
      <c r="F49" s="9"/>
      <c r="G49" s="9"/>
      <c r="H49" s="9"/>
      <c r="I49" s="9"/>
      <c r="J49" s="9"/>
      <c r="K49" s="9"/>
      <c r="L49" s="9"/>
      <c r="M49" s="9"/>
      <c r="N49" s="9"/>
      <c r="O49" s="9"/>
      <c r="P49" s="9"/>
      <c r="Q49" s="9"/>
      <c r="R49" s="9"/>
      <c r="S49" s="9"/>
    </row>
    <row r="50" spans="1:19" x14ac:dyDescent="0.35">
      <c r="A50" s="9"/>
      <c r="B50" s="9"/>
      <c r="C50" s="9"/>
      <c r="D50" s="9"/>
      <c r="E50" s="9"/>
      <c r="F50" s="9"/>
      <c r="G50" s="9"/>
      <c r="H50" s="9"/>
      <c r="I50" s="9"/>
      <c r="J50" s="9"/>
      <c r="K50" s="9"/>
      <c r="L50" s="9"/>
      <c r="M50" s="9"/>
      <c r="N50" s="9"/>
      <c r="O50" s="9"/>
      <c r="P50" s="9"/>
      <c r="Q50" s="9"/>
      <c r="R50" s="9"/>
      <c r="S50" s="9"/>
    </row>
  </sheetData>
  <mergeCells count="3">
    <mergeCell ref="B3:C4"/>
    <mergeCell ref="E3:F4"/>
    <mergeCell ref="H3: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8450-E600-4E16-A577-8E6D3613DBBD}">
  <sheetPr>
    <outlinePr summaryBelow="0"/>
  </sheetPr>
  <dimension ref="B1:F12"/>
  <sheetViews>
    <sheetView showGridLines="0" workbookViewId="0"/>
  </sheetViews>
  <sheetFormatPr defaultRowHeight="14.5" outlineLevelRow="1" outlineLevelCol="1" x14ac:dyDescent="0.35"/>
  <cols>
    <col min="3" max="3" width="7.26953125" bestFit="1" customWidth="1"/>
    <col min="4" max="6" width="12.54296875" bestFit="1" customWidth="1" outlineLevel="1"/>
  </cols>
  <sheetData>
    <row r="1" spans="2:6" ht="15" thickBot="1" x14ac:dyDescent="0.4"/>
    <row r="2" spans="2:6" ht="15.5" x14ac:dyDescent="0.35">
      <c r="B2" s="180" t="s">
        <v>1795</v>
      </c>
      <c r="C2" s="180"/>
      <c r="D2" s="184"/>
      <c r="E2" s="184"/>
      <c r="F2" s="184"/>
    </row>
    <row r="3" spans="2:6" ht="15.5" collapsed="1" x14ac:dyDescent="0.35">
      <c r="B3" s="179"/>
      <c r="C3" s="179"/>
      <c r="D3" s="185" t="s">
        <v>1797</v>
      </c>
      <c r="E3" s="185" t="s">
        <v>1792</v>
      </c>
      <c r="F3" s="185" t="s">
        <v>1794</v>
      </c>
    </row>
    <row r="4" spans="2:6" ht="21" hidden="1" outlineLevel="1" x14ac:dyDescent="0.35">
      <c r="B4" s="181"/>
      <c r="C4" s="181"/>
      <c r="D4" s="160"/>
      <c r="E4" s="187" t="s">
        <v>1793</v>
      </c>
      <c r="F4" s="187" t="s">
        <v>1793</v>
      </c>
    </row>
    <row r="5" spans="2:6" x14ac:dyDescent="0.35">
      <c r="B5" s="182" t="s">
        <v>1796</v>
      </c>
      <c r="C5" s="182"/>
      <c r="D5" s="162"/>
      <c r="E5" s="162"/>
      <c r="F5" s="162"/>
    </row>
    <row r="6" spans="2:6" outlineLevel="1" x14ac:dyDescent="0.35">
      <c r="B6" s="181"/>
      <c r="C6" s="181" t="s">
        <v>1789</v>
      </c>
      <c r="D6" s="160">
        <v>10</v>
      </c>
      <c r="E6" s="186">
        <v>5</v>
      </c>
      <c r="F6" s="186">
        <v>20</v>
      </c>
    </row>
    <row r="7" spans="2:6" outlineLevel="1" x14ac:dyDescent="0.35">
      <c r="B7" s="181"/>
      <c r="C7" s="181" t="s">
        <v>1790</v>
      </c>
      <c r="D7" s="160">
        <v>500</v>
      </c>
      <c r="E7" s="186">
        <v>200</v>
      </c>
      <c r="F7" s="186">
        <v>500</v>
      </c>
    </row>
    <row r="8" spans="2:6" x14ac:dyDescent="0.35">
      <c r="B8" s="182" t="s">
        <v>1798</v>
      </c>
      <c r="C8" s="182"/>
      <c r="D8" s="162"/>
      <c r="E8" s="162"/>
      <c r="F8" s="162"/>
    </row>
    <row r="9" spans="2:6" ht="15" outlineLevel="1" thickBot="1" x14ac:dyDescent="0.4">
      <c r="B9" s="183"/>
      <c r="C9" s="183" t="s">
        <v>1791</v>
      </c>
      <c r="D9" s="161">
        <v>5000</v>
      </c>
      <c r="E9" s="161">
        <v>1000</v>
      </c>
      <c r="F9" s="161">
        <v>10000</v>
      </c>
    </row>
    <row r="10" spans="2:6" x14ac:dyDescent="0.35">
      <c r="B10" t="s">
        <v>1799</v>
      </c>
    </row>
    <row r="11" spans="2:6" x14ac:dyDescent="0.35">
      <c r="B11" t="s">
        <v>1800</v>
      </c>
    </row>
    <row r="12" spans="2:6" x14ac:dyDescent="0.35">
      <c r="B12" t="s">
        <v>1801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4EB7-510F-4BFA-93A8-A6B9A2243A24}">
  <dimension ref="A1:M21"/>
  <sheetViews>
    <sheetView topLeftCell="A2" workbookViewId="0">
      <selection activeCell="G5" sqref="G5"/>
    </sheetView>
  </sheetViews>
  <sheetFormatPr defaultRowHeight="14.5" x14ac:dyDescent="0.35"/>
  <cols>
    <col min="1" max="1" width="17.26953125" bestFit="1" customWidth="1"/>
    <col min="2" max="2" width="12.453125" bestFit="1" customWidth="1"/>
    <col min="3" max="3" width="13.54296875" bestFit="1" customWidth="1"/>
    <col min="4" max="4" width="12.45312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1" spans="1:9" x14ac:dyDescent="0.35">
      <c r="A1" t="s">
        <v>1760</v>
      </c>
    </row>
    <row r="2" spans="1:9" ht="15" thickBot="1" x14ac:dyDescent="0.4"/>
    <row r="3" spans="1:9" x14ac:dyDescent="0.35">
      <c r="A3" s="164" t="s">
        <v>1761</v>
      </c>
      <c r="B3" s="164"/>
    </row>
    <row r="4" spans="1:9" x14ac:dyDescent="0.35">
      <c r="A4" s="160" t="s">
        <v>1762</v>
      </c>
      <c r="B4" s="160">
        <v>0.2662392458687165</v>
      </c>
    </row>
    <row r="5" spans="1:9" x14ac:dyDescent="0.35">
      <c r="A5" s="160" t="s">
        <v>1763</v>
      </c>
      <c r="B5" s="160">
        <v>7.0883336040742886E-2</v>
      </c>
    </row>
    <row r="6" spans="1:9" x14ac:dyDescent="0.35">
      <c r="A6" s="160" t="s">
        <v>1764</v>
      </c>
      <c r="B6" s="160">
        <v>6.9013886012655845E-2</v>
      </c>
    </row>
    <row r="7" spans="1:9" x14ac:dyDescent="0.35">
      <c r="A7" s="160" t="s">
        <v>1765</v>
      </c>
      <c r="B7" s="160">
        <v>590.34086487630202</v>
      </c>
    </row>
    <row r="8" spans="1:9" ht="15" thickBot="1" x14ac:dyDescent="0.4">
      <c r="A8" s="161" t="s">
        <v>1766</v>
      </c>
      <c r="B8" s="161">
        <v>499</v>
      </c>
    </row>
    <row r="10" spans="1:9" ht="15" thickBot="1" x14ac:dyDescent="0.4">
      <c r="A10" t="s">
        <v>1767</v>
      </c>
    </row>
    <row r="11" spans="1:9" x14ac:dyDescent="0.35">
      <c r="A11" s="163"/>
      <c r="B11" s="163" t="s">
        <v>1772</v>
      </c>
      <c r="C11" s="163" t="s">
        <v>1773</v>
      </c>
      <c r="D11" s="163" t="s">
        <v>1774</v>
      </c>
      <c r="E11" s="163" t="s">
        <v>1775</v>
      </c>
      <c r="F11" s="163" t="s">
        <v>1776</v>
      </c>
    </row>
    <row r="12" spans="1:9" x14ac:dyDescent="0.35">
      <c r="A12" s="160" t="s">
        <v>1768</v>
      </c>
      <c r="B12" s="160">
        <v>1</v>
      </c>
      <c r="C12" s="160">
        <v>13214051.124762684</v>
      </c>
      <c r="D12" s="160">
        <v>13214051.124762684</v>
      </c>
      <c r="E12" s="160">
        <v>37.916678689334162</v>
      </c>
      <c r="F12" s="160">
        <v>1.5239985127540655E-9</v>
      </c>
    </row>
    <row r="13" spans="1:9" x14ac:dyDescent="0.35">
      <c r="A13" s="160" t="s">
        <v>1769</v>
      </c>
      <c r="B13" s="160">
        <v>497</v>
      </c>
      <c r="C13" s="160">
        <v>173205661.36122143</v>
      </c>
      <c r="D13" s="160">
        <v>348502.33674290025</v>
      </c>
      <c r="E13" s="160"/>
      <c r="F13" s="160"/>
    </row>
    <row r="14" spans="1:9" ht="15" thickBot="1" x14ac:dyDescent="0.4">
      <c r="A14" s="161" t="s">
        <v>1770</v>
      </c>
      <c r="B14" s="161">
        <v>498</v>
      </c>
      <c r="C14" s="161">
        <v>186419712.48598412</v>
      </c>
      <c r="D14" s="161"/>
      <c r="E14" s="161"/>
      <c r="F14" s="161"/>
    </row>
    <row r="15" spans="1:9" ht="15" thickBot="1" x14ac:dyDescent="0.4"/>
    <row r="16" spans="1:9" x14ac:dyDescent="0.35">
      <c r="A16" s="163"/>
      <c r="B16" s="163" t="s">
        <v>1777</v>
      </c>
      <c r="C16" s="163" t="s">
        <v>1765</v>
      </c>
      <c r="D16" s="163" t="s">
        <v>1778</v>
      </c>
      <c r="E16" s="163" t="s">
        <v>1779</v>
      </c>
      <c r="F16" s="163" t="s">
        <v>1780</v>
      </c>
      <c r="G16" s="163" t="s">
        <v>1781</v>
      </c>
      <c r="H16" s="163" t="s">
        <v>1782</v>
      </c>
      <c r="I16" s="163" t="s">
        <v>1783</v>
      </c>
    </row>
    <row r="17" spans="1:13" x14ac:dyDescent="0.35">
      <c r="A17" s="160" t="s">
        <v>1771</v>
      </c>
      <c r="B17" s="160">
        <v>-15.606565534836534</v>
      </c>
      <c r="C17" s="160">
        <v>51.870729199281193</v>
      </c>
      <c r="D17" s="160">
        <v>-0.30087422667373653</v>
      </c>
      <c r="E17" s="160">
        <v>0.76363623014451998</v>
      </c>
      <c r="F17" s="160">
        <v>-117.51950881756215</v>
      </c>
      <c r="G17" s="160">
        <v>86.306377747889087</v>
      </c>
      <c r="H17" s="160">
        <v>-117.51950881756215</v>
      </c>
      <c r="I17" s="160">
        <v>86.306377747889087</v>
      </c>
    </row>
    <row r="18" spans="1:13" ht="15" thickBot="1" x14ac:dyDescent="0.4">
      <c r="A18" s="161" t="s">
        <v>1784</v>
      </c>
      <c r="B18" s="161">
        <v>69.829273066132075</v>
      </c>
      <c r="C18" s="161">
        <v>11.340243419465533</v>
      </c>
      <c r="D18" s="161">
        <v>6.1576520435416837</v>
      </c>
      <c r="E18" s="161">
        <v>1.5239985127548984E-9</v>
      </c>
      <c r="F18" s="161">
        <v>47.548545529409708</v>
      </c>
      <c r="G18" s="161">
        <v>92.110000602854441</v>
      </c>
      <c r="H18" s="161">
        <v>47.548545529409708</v>
      </c>
      <c r="I18" s="161">
        <v>92.110000602854441</v>
      </c>
    </row>
    <row r="19" spans="1:13" ht="15" thickBot="1" x14ac:dyDescent="0.4"/>
    <row r="20" spans="1:13" x14ac:dyDescent="0.35">
      <c r="A20" s="188" t="s">
        <v>1802</v>
      </c>
      <c r="B20" s="189"/>
      <c r="C20" s="189"/>
      <c r="D20" s="189"/>
      <c r="E20" s="189"/>
      <c r="F20" s="189"/>
      <c r="G20" s="189"/>
      <c r="H20" s="189"/>
      <c r="I20" s="189"/>
      <c r="J20" s="189"/>
      <c r="K20" s="189"/>
      <c r="L20" s="189"/>
      <c r="M20" s="190"/>
    </row>
    <row r="21" spans="1:13" ht="15" thickBot="1" x14ac:dyDescent="0.4">
      <c r="A21" s="191"/>
      <c r="B21" s="192"/>
      <c r="C21" s="192"/>
      <c r="D21" s="192"/>
      <c r="E21" s="192"/>
      <c r="F21" s="192"/>
      <c r="G21" s="192"/>
      <c r="H21" s="192"/>
      <c r="I21" s="192"/>
      <c r="J21" s="192"/>
      <c r="K21" s="192"/>
      <c r="L21" s="192"/>
      <c r="M21" s="193"/>
    </row>
  </sheetData>
  <mergeCells count="1">
    <mergeCell ref="A20:M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BB70-DE74-4B91-8972-BD644DB19811}">
  <dimension ref="A1:AA500"/>
  <sheetViews>
    <sheetView topLeftCell="R1" workbookViewId="0">
      <selection activeCell="Y7" sqref="Y7"/>
    </sheetView>
  </sheetViews>
  <sheetFormatPr defaultRowHeight="14.5" x14ac:dyDescent="0.35"/>
  <cols>
    <col min="1" max="1" width="8.7265625" customWidth="1"/>
    <col min="2" max="2" width="14.453125" bestFit="1" customWidth="1"/>
    <col min="3" max="3" width="12.1796875" customWidth="1"/>
    <col min="4" max="4" width="10.81640625" customWidth="1"/>
    <col min="5" max="5" width="13.08984375" bestFit="1" customWidth="1"/>
    <col min="6" max="6" width="13.26953125" customWidth="1"/>
    <col min="7" max="7" width="20.1796875" bestFit="1" customWidth="1"/>
    <col min="8" max="8" width="11.1796875" bestFit="1" customWidth="1"/>
    <col min="9" max="9" width="11.81640625" bestFit="1" customWidth="1"/>
    <col min="10" max="10" width="15.7265625" bestFit="1" customWidth="1"/>
    <col min="11" max="11" width="13.1796875" bestFit="1" customWidth="1"/>
    <col min="12" max="12" width="12.7265625" customWidth="1"/>
    <col min="13" max="13" width="8.453125" customWidth="1"/>
    <col min="14" max="14" width="16.1796875" bestFit="1" customWidth="1"/>
    <col min="15" max="15" width="13.1796875" bestFit="1" customWidth="1"/>
    <col min="16" max="16" width="14" customWidth="1"/>
    <col min="17" max="17" width="91.6328125" bestFit="1" customWidth="1"/>
    <col min="18" max="18" width="9.81640625" bestFit="1" customWidth="1"/>
    <col min="19" max="20" width="10.1796875" customWidth="1"/>
    <col min="21" max="21" width="10.453125" bestFit="1" customWidth="1"/>
    <col min="22" max="22" width="11.90625" bestFit="1" customWidth="1"/>
    <col min="23" max="23" width="14.54296875" bestFit="1" customWidth="1"/>
    <col min="24" max="24" width="13.36328125" bestFit="1" customWidth="1"/>
    <col min="25" max="25" width="13.7265625" bestFit="1" customWidth="1"/>
    <col min="26" max="26" width="14.54296875" style="159" bestFit="1" customWidth="1"/>
    <col min="27" max="27" width="21.54296875" style="159"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1720</v>
      </c>
      <c r="W1" t="s">
        <v>1750</v>
      </c>
      <c r="X1" t="s">
        <v>1756</v>
      </c>
      <c r="Y1" t="s">
        <v>1757</v>
      </c>
      <c r="Z1" s="159" t="s">
        <v>1758</v>
      </c>
      <c r="AA1" s="159" t="s">
        <v>1759</v>
      </c>
    </row>
    <row r="2" spans="1:27"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IF(data[[#This Row],[Sales]]&gt;500,"High","Low")</f>
        <v>Low</v>
      </c>
      <c r="W2" s="111">
        <f t="shared" ref="W2:W65" ca="1" si="0">NOW()</f>
        <v>46152.63727835648</v>
      </c>
      <c r="X2">
        <f>DATEDIF(data[[#This Row],[Order Date]], data[[#This Row],[Ship Date]], "d")</f>
        <v>3</v>
      </c>
      <c r="Y2">
        <f t="shared" ref="Y2:Y65" ca="1" si="1">YEAR(TODAY())</f>
        <v>2026</v>
      </c>
      <c r="Z2" s="159">
        <f>EOMONTH(data[[#This Row],[Order Date]],0)</f>
        <v>42704</v>
      </c>
      <c r="AA2" s="159" t="str">
        <f>LEFT(data[[#This Row],[Customer Name]],3)</f>
        <v>Cla</v>
      </c>
    </row>
    <row r="3" spans="1:27"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IF(data[[#This Row],[Sales]]&gt;500,"High","Low")</f>
        <v>High</v>
      </c>
      <c r="W3" s="111">
        <f t="shared" ca="1" si="0"/>
        <v>46152.63727835648</v>
      </c>
      <c r="X3">
        <f>DATEDIF(data[[#This Row],[Order Date]], data[[#This Row],[Ship Date]], "d")</f>
        <v>3</v>
      </c>
      <c r="Y3">
        <f t="shared" ca="1" si="1"/>
        <v>2026</v>
      </c>
      <c r="Z3" s="159">
        <f>EOMONTH(data[[#This Row],[Order Date]],0)</f>
        <v>42704</v>
      </c>
      <c r="AA3" s="159" t="str">
        <f>LEFT(data[[#This Row],[Customer Name]],3)</f>
        <v>Cla</v>
      </c>
    </row>
    <row r="4" spans="1:27"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IF(data[[#This Row],[Sales]]&gt;500,"High","Low")</f>
        <v>Low</v>
      </c>
      <c r="W4" s="111">
        <f t="shared" ca="1" si="0"/>
        <v>46152.63727835648</v>
      </c>
      <c r="X4">
        <f>DATEDIF(data[[#This Row],[Order Date]], data[[#This Row],[Ship Date]], "d")</f>
        <v>4</v>
      </c>
      <c r="Y4">
        <f t="shared" ca="1" si="1"/>
        <v>2026</v>
      </c>
      <c r="Z4" s="159">
        <f>EOMONTH(data[[#This Row],[Order Date]],0)</f>
        <v>42551</v>
      </c>
      <c r="AA4" s="159" t="str">
        <f>LEFT(data[[#This Row],[Customer Name]],3)</f>
        <v>Dar</v>
      </c>
    </row>
    <row r="5" spans="1:27"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IF(data[[#This Row],[Sales]]&gt;500,"High","Low")</f>
        <v>High</v>
      </c>
      <c r="W5" s="111">
        <f t="shared" ca="1" si="0"/>
        <v>46152.63727835648</v>
      </c>
      <c r="X5">
        <f>DATEDIF(data[[#This Row],[Order Date]], data[[#This Row],[Ship Date]], "d")</f>
        <v>7</v>
      </c>
      <c r="Y5">
        <f t="shared" ca="1" si="1"/>
        <v>2026</v>
      </c>
      <c r="Z5" s="159">
        <f>EOMONTH(data[[#This Row],[Order Date]],0)</f>
        <v>42308</v>
      </c>
      <c r="AA5" s="159" t="str">
        <f>LEFT(data[[#This Row],[Customer Name]],3)</f>
        <v>Sea</v>
      </c>
    </row>
    <row r="6" spans="1:27"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IF(data[[#This Row],[Sales]]&gt;500,"High","Low")</f>
        <v>Low</v>
      </c>
      <c r="W6" s="111">
        <f t="shared" ca="1" si="0"/>
        <v>46152.63727835648</v>
      </c>
      <c r="X6">
        <f>DATEDIF(data[[#This Row],[Order Date]], data[[#This Row],[Ship Date]], "d")</f>
        <v>7</v>
      </c>
      <c r="Y6">
        <f t="shared" ca="1" si="1"/>
        <v>2026</v>
      </c>
      <c r="Z6" s="159">
        <f>EOMONTH(data[[#This Row],[Order Date]],0)</f>
        <v>42308</v>
      </c>
      <c r="AA6" s="159" t="str">
        <f>LEFT(data[[#This Row],[Customer Name]],3)</f>
        <v>Sea</v>
      </c>
    </row>
    <row r="7" spans="1:27"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IF(data[[#This Row],[Sales]]&gt;500,"High","Low")</f>
        <v>Low</v>
      </c>
      <c r="W7" s="111">
        <f t="shared" ca="1" si="0"/>
        <v>46152.63727835648</v>
      </c>
      <c r="X7">
        <f>DATEDIF(data[[#This Row],[Order Date]], data[[#This Row],[Ship Date]], "d")</f>
        <v>5</v>
      </c>
      <c r="Y7">
        <f t="shared" ca="1" si="1"/>
        <v>2026</v>
      </c>
      <c r="Z7" s="159">
        <f>EOMONTH(data[[#This Row],[Order Date]],0)</f>
        <v>41820</v>
      </c>
      <c r="AA7" s="159" t="str">
        <f>LEFT(data[[#This Row],[Customer Name]],3)</f>
        <v>Bro</v>
      </c>
    </row>
    <row r="8" spans="1:27"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IF(data[[#This Row],[Sales]]&gt;500,"High","Low")</f>
        <v>Low</v>
      </c>
      <c r="W8" s="111">
        <f t="shared" ca="1" si="0"/>
        <v>46152.63727835648</v>
      </c>
      <c r="X8">
        <f>DATEDIF(data[[#This Row],[Order Date]], data[[#This Row],[Ship Date]], "d")</f>
        <v>5</v>
      </c>
      <c r="Y8">
        <f t="shared" ca="1" si="1"/>
        <v>2026</v>
      </c>
      <c r="Z8" s="159">
        <f>EOMONTH(data[[#This Row],[Order Date]],0)</f>
        <v>41820</v>
      </c>
      <c r="AA8" s="159" t="str">
        <f>LEFT(data[[#This Row],[Customer Name]],3)</f>
        <v>Bro</v>
      </c>
    </row>
    <row r="9" spans="1:27"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IF(data[[#This Row],[Sales]]&gt;500,"High","Low")</f>
        <v>High</v>
      </c>
      <c r="W9" s="111">
        <f t="shared" ca="1" si="0"/>
        <v>46152.63727835648</v>
      </c>
      <c r="X9">
        <f>DATEDIF(data[[#This Row],[Order Date]], data[[#This Row],[Ship Date]], "d")</f>
        <v>5</v>
      </c>
      <c r="Y9">
        <f t="shared" ca="1" si="1"/>
        <v>2026</v>
      </c>
      <c r="Z9" s="159">
        <f>EOMONTH(data[[#This Row],[Order Date]],0)</f>
        <v>41820</v>
      </c>
      <c r="AA9" s="159" t="str">
        <f>LEFT(data[[#This Row],[Customer Name]],3)</f>
        <v>Bro</v>
      </c>
    </row>
    <row r="10" spans="1:27"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IF(data[[#This Row],[Sales]]&gt;500,"High","Low")</f>
        <v>Low</v>
      </c>
      <c r="W10" s="111">
        <f t="shared" ca="1" si="0"/>
        <v>46152.63727835648</v>
      </c>
      <c r="X10">
        <f>DATEDIF(data[[#This Row],[Order Date]], data[[#This Row],[Ship Date]], "d")</f>
        <v>5</v>
      </c>
      <c r="Y10">
        <f t="shared" ca="1" si="1"/>
        <v>2026</v>
      </c>
      <c r="Z10" s="159">
        <f>EOMONTH(data[[#This Row],[Order Date]],0)</f>
        <v>41820</v>
      </c>
      <c r="AA10" s="159" t="str">
        <f>LEFT(data[[#This Row],[Customer Name]],3)</f>
        <v>Bro</v>
      </c>
    </row>
    <row r="11" spans="1:27"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IF(data[[#This Row],[Sales]]&gt;500,"High","Low")</f>
        <v>Low</v>
      </c>
      <c r="W11" s="111">
        <f t="shared" ca="1" si="0"/>
        <v>46152.63727835648</v>
      </c>
      <c r="X11">
        <f>DATEDIF(data[[#This Row],[Order Date]], data[[#This Row],[Ship Date]], "d")</f>
        <v>5</v>
      </c>
      <c r="Y11">
        <f t="shared" ca="1" si="1"/>
        <v>2026</v>
      </c>
      <c r="Z11" s="159">
        <f>EOMONTH(data[[#This Row],[Order Date]],0)</f>
        <v>41820</v>
      </c>
      <c r="AA11" s="159" t="str">
        <f>LEFT(data[[#This Row],[Customer Name]],3)</f>
        <v>Bro</v>
      </c>
    </row>
    <row r="12" spans="1:27"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IF(data[[#This Row],[Sales]]&gt;500,"High","Low")</f>
        <v>High</v>
      </c>
      <c r="W12" s="111">
        <f t="shared" ca="1" si="0"/>
        <v>46152.63727835648</v>
      </c>
      <c r="X12">
        <f>DATEDIF(data[[#This Row],[Order Date]], data[[#This Row],[Ship Date]], "d")</f>
        <v>5</v>
      </c>
      <c r="Y12">
        <f t="shared" ca="1" si="1"/>
        <v>2026</v>
      </c>
      <c r="Z12" s="159">
        <f>EOMONTH(data[[#This Row],[Order Date]],0)</f>
        <v>41820</v>
      </c>
      <c r="AA12" s="159" t="str">
        <f>LEFT(data[[#This Row],[Customer Name]],3)</f>
        <v>Bro</v>
      </c>
    </row>
    <row r="13" spans="1:27"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IF(data[[#This Row],[Sales]]&gt;500,"High","Low")</f>
        <v>High</v>
      </c>
      <c r="W13" s="111">
        <f t="shared" ca="1" si="0"/>
        <v>46152.63727835648</v>
      </c>
      <c r="X13">
        <f>DATEDIF(data[[#This Row],[Order Date]], data[[#This Row],[Ship Date]], "d")</f>
        <v>5</v>
      </c>
      <c r="Y13">
        <f t="shared" ca="1" si="1"/>
        <v>2026</v>
      </c>
      <c r="Z13" s="159">
        <f>EOMONTH(data[[#This Row],[Order Date]],0)</f>
        <v>41820</v>
      </c>
      <c r="AA13" s="159" t="str">
        <f>LEFT(data[[#This Row],[Customer Name]],3)</f>
        <v>Bro</v>
      </c>
    </row>
    <row r="14" spans="1:27"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IF(data[[#This Row],[Sales]]&gt;500,"High","Low")</f>
        <v>Low</v>
      </c>
      <c r="W14" s="111">
        <f t="shared" ca="1" si="0"/>
        <v>46152.63727835648</v>
      </c>
      <c r="X14">
        <f>DATEDIF(data[[#This Row],[Order Date]], data[[#This Row],[Ship Date]], "d")</f>
        <v>5</v>
      </c>
      <c r="Y14">
        <f t="shared" ca="1" si="1"/>
        <v>2026</v>
      </c>
      <c r="Z14" s="159">
        <f>EOMONTH(data[[#This Row],[Order Date]],0)</f>
        <v>42855</v>
      </c>
      <c r="AA14" s="159" t="str">
        <f>LEFT(data[[#This Row],[Customer Name]],3)</f>
        <v>And</v>
      </c>
    </row>
    <row r="15" spans="1:27"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IF(data[[#This Row],[Sales]]&gt;500,"High","Low")</f>
        <v>Low</v>
      </c>
      <c r="W15" s="111">
        <f t="shared" ca="1" si="0"/>
        <v>46152.63727835648</v>
      </c>
      <c r="X15">
        <f>DATEDIF(data[[#This Row],[Order Date]], data[[#This Row],[Ship Date]], "d")</f>
        <v>5</v>
      </c>
      <c r="Y15">
        <f t="shared" ca="1" si="1"/>
        <v>2026</v>
      </c>
      <c r="Z15" s="159">
        <f>EOMONTH(data[[#This Row],[Order Date]],0)</f>
        <v>42735</v>
      </c>
      <c r="AA15" s="159" t="str">
        <f>LEFT(data[[#This Row],[Customer Name]],3)</f>
        <v>Ire</v>
      </c>
    </row>
    <row r="16" spans="1:27"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IF(data[[#This Row],[Sales]]&gt;500,"High","Low")</f>
        <v>Low</v>
      </c>
      <c r="W16" s="111">
        <f t="shared" ca="1" si="0"/>
        <v>46152.63727835648</v>
      </c>
      <c r="X16">
        <f>DATEDIF(data[[#This Row],[Order Date]], data[[#This Row],[Ship Date]], "d")</f>
        <v>4</v>
      </c>
      <c r="Y16">
        <f t="shared" ca="1" si="1"/>
        <v>2026</v>
      </c>
      <c r="Z16" s="159">
        <f>EOMONTH(data[[#This Row],[Order Date]],0)</f>
        <v>42338</v>
      </c>
      <c r="AA16" s="159" t="str">
        <f>LEFT(data[[#This Row],[Customer Name]],3)</f>
        <v>Har</v>
      </c>
    </row>
    <row r="17" spans="1:27"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IF(data[[#This Row],[Sales]]&gt;500,"High","Low")</f>
        <v>Low</v>
      </c>
      <c r="W17" s="111">
        <f t="shared" ca="1" si="0"/>
        <v>46152.63727835648</v>
      </c>
      <c r="X17">
        <f>DATEDIF(data[[#This Row],[Order Date]], data[[#This Row],[Ship Date]], "d")</f>
        <v>4</v>
      </c>
      <c r="Y17">
        <f t="shared" ca="1" si="1"/>
        <v>2026</v>
      </c>
      <c r="Z17" s="159">
        <f>EOMONTH(data[[#This Row],[Order Date]],0)</f>
        <v>42338</v>
      </c>
      <c r="AA17" s="159" t="str">
        <f>LEFT(data[[#This Row],[Customer Name]],3)</f>
        <v>Har</v>
      </c>
    </row>
    <row r="18" spans="1:27"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IF(data[[#This Row],[Sales]]&gt;500,"High","Low")</f>
        <v>High</v>
      </c>
      <c r="W18" s="111">
        <f t="shared" ca="1" si="0"/>
        <v>46152.63727835648</v>
      </c>
      <c r="X18">
        <f>DATEDIF(data[[#This Row],[Order Date]], data[[#This Row],[Ship Date]], "d")</f>
        <v>7</v>
      </c>
      <c r="Y18">
        <f t="shared" ca="1" si="1"/>
        <v>2026</v>
      </c>
      <c r="Z18" s="159">
        <f>EOMONTH(data[[#This Row],[Order Date]],0)</f>
        <v>41973</v>
      </c>
      <c r="AA18" s="159" t="str">
        <f>LEFT(data[[#This Row],[Customer Name]],3)</f>
        <v>Pet</v>
      </c>
    </row>
    <row r="19" spans="1:27" x14ac:dyDescent="0.35">
      <c r="A19">
        <v>18</v>
      </c>
      <c r="B19" s="1">
        <v>46152</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IF(data[[#This Row],[Sales]]&gt;500,"High","Low")</f>
        <v>Low</v>
      </c>
      <c r="W19" s="111">
        <f t="shared" ca="1" si="0"/>
        <v>46152.63727835648</v>
      </c>
      <c r="X19">
        <f>DATEDIF(data[[#This Row],[Order Date]], data[[#This Row],[Ship Date]], "d")</f>
        <v>2</v>
      </c>
      <c r="Y19">
        <f t="shared" ca="1" si="1"/>
        <v>2026</v>
      </c>
      <c r="Z19" s="159">
        <f>EOMONTH(data[[#This Row],[Order Date]],0)</f>
        <v>41790</v>
      </c>
      <c r="AA19" s="159" t="str">
        <f>LEFT(data[[#This Row],[Customer Name]],3)</f>
        <v>Ale</v>
      </c>
    </row>
    <row r="20" spans="1:27"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IF(data[[#This Row],[Sales]]&gt;500,"High","Low")</f>
        <v>Low</v>
      </c>
      <c r="W20" s="111">
        <f t="shared" ca="1" si="0"/>
        <v>46152.63727835648</v>
      </c>
      <c r="X20">
        <f>DATEDIF(data[[#This Row],[Order Date]], data[[#This Row],[Ship Date]], "d")</f>
        <v>5</v>
      </c>
      <c r="Y20">
        <f t="shared" ca="1" si="1"/>
        <v>2026</v>
      </c>
      <c r="Z20" s="159">
        <f>EOMONTH(data[[#This Row],[Order Date]],0)</f>
        <v>41882</v>
      </c>
      <c r="AA20" s="159" t="str">
        <f>LEFT(data[[#This Row],[Customer Name]],3)</f>
        <v>Zus</v>
      </c>
    </row>
    <row r="21" spans="1:27"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IF(data[[#This Row],[Sales]]&gt;500,"High","Low")</f>
        <v>Low</v>
      </c>
      <c r="W21" s="111">
        <f t="shared" ca="1" si="0"/>
        <v>46152.63727835648</v>
      </c>
      <c r="X21">
        <f>DATEDIF(data[[#This Row],[Order Date]], data[[#This Row],[Ship Date]], "d")</f>
        <v>5</v>
      </c>
      <c r="Y21">
        <f t="shared" ca="1" si="1"/>
        <v>2026</v>
      </c>
      <c r="Z21" s="159">
        <f>EOMONTH(data[[#This Row],[Order Date]],0)</f>
        <v>41882</v>
      </c>
      <c r="AA21" s="159" t="str">
        <f>LEFT(data[[#This Row],[Customer Name]],3)</f>
        <v>Zus</v>
      </c>
    </row>
    <row r="22" spans="1:27"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IF(data[[#This Row],[Sales]]&gt;500,"High","Low")</f>
        <v>Low</v>
      </c>
      <c r="W22" s="111">
        <f t="shared" ca="1" si="0"/>
        <v>46152.63727835648</v>
      </c>
      <c r="X22">
        <f>DATEDIF(data[[#This Row],[Order Date]], data[[#This Row],[Ship Date]], "d")</f>
        <v>5</v>
      </c>
      <c r="Y22">
        <f t="shared" ca="1" si="1"/>
        <v>2026</v>
      </c>
      <c r="Z22" s="159">
        <f>EOMONTH(data[[#This Row],[Order Date]],0)</f>
        <v>41882</v>
      </c>
      <c r="AA22" s="159" t="str">
        <f>LEFT(data[[#This Row],[Customer Name]],3)</f>
        <v>Zus</v>
      </c>
    </row>
    <row r="23" spans="1:27"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IF(data[[#This Row],[Sales]]&gt;500,"High","Low")</f>
        <v>Low</v>
      </c>
      <c r="W23" s="111">
        <f t="shared" ca="1" si="0"/>
        <v>46152.63727835648</v>
      </c>
      <c r="X23">
        <f>DATEDIF(data[[#This Row],[Order Date]], data[[#This Row],[Ship Date]], "d")</f>
        <v>4</v>
      </c>
      <c r="Y23">
        <f t="shared" ca="1" si="1"/>
        <v>2026</v>
      </c>
      <c r="Z23" s="159">
        <f>EOMONTH(data[[#This Row],[Order Date]],0)</f>
        <v>42735</v>
      </c>
      <c r="AA23" s="159" t="str">
        <f>LEFT(data[[#This Row],[Customer Name]],3)</f>
        <v>Ken</v>
      </c>
    </row>
    <row r="24" spans="1:27"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IF(data[[#This Row],[Sales]]&gt;500,"High","Low")</f>
        <v>Low</v>
      </c>
      <c r="W24" s="111">
        <f t="shared" ca="1" si="0"/>
        <v>46152.63727835648</v>
      </c>
      <c r="X24">
        <f>DATEDIF(data[[#This Row],[Order Date]], data[[#This Row],[Ship Date]], "d")</f>
        <v>4</v>
      </c>
      <c r="Y24">
        <f t="shared" ca="1" si="1"/>
        <v>2026</v>
      </c>
      <c r="Z24" s="159">
        <f>EOMONTH(data[[#This Row],[Order Date]],0)</f>
        <v>42735</v>
      </c>
      <c r="AA24" s="159" t="str">
        <f>LEFT(data[[#This Row],[Customer Name]],3)</f>
        <v>Ken</v>
      </c>
    </row>
    <row r="25" spans="1:27"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IF(data[[#This Row],[Sales]]&gt;500,"High","Low")</f>
        <v>Low</v>
      </c>
      <c r="W25" s="111">
        <f t="shared" ca="1" si="0"/>
        <v>46152.63727835648</v>
      </c>
      <c r="X25">
        <f>DATEDIF(data[[#This Row],[Order Date]], data[[#This Row],[Ship Date]], "d")</f>
        <v>2</v>
      </c>
      <c r="Y25">
        <f t="shared" ca="1" si="1"/>
        <v>2026</v>
      </c>
      <c r="Z25" s="159">
        <f>EOMONTH(data[[#This Row],[Order Date]],0)</f>
        <v>42947</v>
      </c>
      <c r="AA25" s="159" t="str">
        <f>LEFT(data[[#This Row],[Customer Name]],3)</f>
        <v>San</v>
      </c>
    </row>
    <row r="26" spans="1:27"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IF(data[[#This Row],[Sales]]&gt;500,"High","Low")</f>
        <v>High</v>
      </c>
      <c r="W26" s="111">
        <f t="shared" ca="1" si="0"/>
        <v>46152.63727835648</v>
      </c>
      <c r="X26">
        <f>DATEDIF(data[[#This Row],[Order Date]], data[[#This Row],[Ship Date]], "d")</f>
        <v>5</v>
      </c>
      <c r="Y26">
        <f t="shared" ca="1" si="1"/>
        <v>2026</v>
      </c>
      <c r="Z26" s="159">
        <f>EOMONTH(data[[#This Row],[Order Date]],0)</f>
        <v>42277</v>
      </c>
      <c r="AA26" s="159" t="str">
        <f>LEFT(data[[#This Row],[Customer Name]],3)</f>
        <v>Emi</v>
      </c>
    </row>
    <row r="27" spans="1:27"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IF(data[[#This Row],[Sales]]&gt;500,"High","Low")</f>
        <v>Low</v>
      </c>
      <c r="W27" s="111">
        <f t="shared" ca="1" si="0"/>
        <v>46152.63727835648</v>
      </c>
      <c r="X27">
        <f>DATEDIF(data[[#This Row],[Order Date]], data[[#This Row],[Ship Date]], "d")</f>
        <v>4</v>
      </c>
      <c r="Y27">
        <f t="shared" ca="1" si="1"/>
        <v>2026</v>
      </c>
      <c r="Z27" s="159">
        <f>EOMONTH(data[[#This Row],[Order Date]],0)</f>
        <v>42400</v>
      </c>
      <c r="AA27" s="159" t="str">
        <f>LEFT(data[[#This Row],[Customer Name]],3)</f>
        <v>Eri</v>
      </c>
    </row>
    <row r="28" spans="1:27"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IF(data[[#This Row],[Sales]]&gt;500,"High","Low")</f>
        <v>Low</v>
      </c>
      <c r="W28" s="111">
        <f t="shared" ca="1" si="0"/>
        <v>46152.63727835648</v>
      </c>
      <c r="X28">
        <f>DATEDIF(data[[#This Row],[Order Date]], data[[#This Row],[Ship Date]], "d")</f>
        <v>4</v>
      </c>
      <c r="Y28">
        <f t="shared" ca="1" si="1"/>
        <v>2026</v>
      </c>
      <c r="Z28" s="159">
        <f>EOMONTH(data[[#This Row],[Order Date]],0)</f>
        <v>42400</v>
      </c>
      <c r="AA28" s="159" t="str">
        <f>LEFT(data[[#This Row],[Customer Name]],3)</f>
        <v>Eri</v>
      </c>
    </row>
    <row r="29" spans="1:27"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IF(data[[#This Row],[Sales]]&gt;500,"High","Low")</f>
        <v>High</v>
      </c>
      <c r="W29" s="111">
        <f t="shared" ca="1" si="0"/>
        <v>46152.63727835648</v>
      </c>
      <c r="X29">
        <f>DATEDIF(data[[#This Row],[Order Date]], data[[#This Row],[Ship Date]], "d")</f>
        <v>4</v>
      </c>
      <c r="Y29">
        <f t="shared" ca="1" si="1"/>
        <v>2026</v>
      </c>
      <c r="Z29" s="159">
        <f>EOMONTH(data[[#This Row],[Order Date]],0)</f>
        <v>42277</v>
      </c>
      <c r="AA29" s="159" t="str">
        <f>LEFT(data[[#This Row],[Customer Name]],3)</f>
        <v>Tra</v>
      </c>
    </row>
    <row r="30" spans="1:27"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IF(data[[#This Row],[Sales]]&gt;500,"High","Low")</f>
        <v>Low</v>
      </c>
      <c r="W30" s="111">
        <f t="shared" ca="1" si="0"/>
        <v>46152.63727835648</v>
      </c>
      <c r="X30">
        <f>DATEDIF(data[[#This Row],[Order Date]], data[[#This Row],[Ship Date]], "d")</f>
        <v>4</v>
      </c>
      <c r="Y30">
        <f t="shared" ca="1" si="1"/>
        <v>2026</v>
      </c>
      <c r="Z30" s="159">
        <f>EOMONTH(data[[#This Row],[Order Date]],0)</f>
        <v>42277</v>
      </c>
      <c r="AA30" s="159" t="str">
        <f>LEFT(data[[#This Row],[Customer Name]],3)</f>
        <v>Tra</v>
      </c>
    </row>
    <row r="31" spans="1:27"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IF(data[[#This Row],[Sales]]&gt;500,"High","Low")</f>
        <v>Low</v>
      </c>
      <c r="W31" s="111">
        <f t="shared" ca="1" si="0"/>
        <v>46152.63727835648</v>
      </c>
      <c r="X31">
        <f>DATEDIF(data[[#This Row],[Order Date]], data[[#This Row],[Ship Date]], "d")</f>
        <v>4</v>
      </c>
      <c r="Y31">
        <f t="shared" ca="1" si="1"/>
        <v>2026</v>
      </c>
      <c r="Z31" s="159">
        <f>EOMONTH(data[[#This Row],[Order Date]],0)</f>
        <v>42277</v>
      </c>
      <c r="AA31" s="159" t="str">
        <f>LEFT(data[[#This Row],[Customer Name]],3)</f>
        <v>Tra</v>
      </c>
    </row>
    <row r="32" spans="1:27"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IF(data[[#This Row],[Sales]]&gt;500,"High","Low")</f>
        <v>Low</v>
      </c>
      <c r="W32" s="111">
        <f t="shared" ca="1" si="0"/>
        <v>46152.63727835648</v>
      </c>
      <c r="X32">
        <f>DATEDIF(data[[#This Row],[Order Date]], data[[#This Row],[Ship Date]], "d")</f>
        <v>4</v>
      </c>
      <c r="Y32">
        <f t="shared" ca="1" si="1"/>
        <v>2026</v>
      </c>
      <c r="Z32" s="159">
        <f>EOMONTH(data[[#This Row],[Order Date]],0)</f>
        <v>42277</v>
      </c>
      <c r="AA32" s="159" t="str">
        <f>LEFT(data[[#This Row],[Customer Name]],3)</f>
        <v>Tra</v>
      </c>
    </row>
    <row r="33" spans="1:27"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IF(data[[#This Row],[Sales]]&gt;500,"High","Low")</f>
        <v>Low</v>
      </c>
      <c r="W33" s="111">
        <f t="shared" ca="1" si="0"/>
        <v>46152.63727835648</v>
      </c>
      <c r="X33">
        <f>DATEDIF(data[[#This Row],[Order Date]], data[[#This Row],[Ship Date]], "d")</f>
        <v>4</v>
      </c>
      <c r="Y33">
        <f t="shared" ca="1" si="1"/>
        <v>2026</v>
      </c>
      <c r="Z33" s="159">
        <f>EOMONTH(data[[#This Row],[Order Date]],0)</f>
        <v>42277</v>
      </c>
      <c r="AA33" s="159" t="str">
        <f>LEFT(data[[#This Row],[Customer Name]],3)</f>
        <v>Tra</v>
      </c>
    </row>
    <row r="34" spans="1:27"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IF(data[[#This Row],[Sales]]&gt;500,"High","Low")</f>
        <v>Low</v>
      </c>
      <c r="W34" s="111">
        <f t="shared" ca="1" si="0"/>
        <v>46152.63727835648</v>
      </c>
      <c r="X34">
        <f>DATEDIF(data[[#This Row],[Order Date]], data[[#This Row],[Ship Date]], "d")</f>
        <v>4</v>
      </c>
      <c r="Y34">
        <f t="shared" ca="1" si="1"/>
        <v>2026</v>
      </c>
      <c r="Z34" s="159">
        <f>EOMONTH(data[[#This Row],[Order Date]],0)</f>
        <v>42277</v>
      </c>
      <c r="AA34" s="159" t="str">
        <f>LEFT(data[[#This Row],[Customer Name]],3)</f>
        <v>Tra</v>
      </c>
    </row>
    <row r="35" spans="1:27"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IF(data[[#This Row],[Sales]]&gt;500,"High","Low")</f>
        <v>Low</v>
      </c>
      <c r="W35" s="111">
        <f t="shared" ca="1" si="0"/>
        <v>46152.63727835648</v>
      </c>
      <c r="X35">
        <f>DATEDIF(data[[#This Row],[Order Date]], data[[#This Row],[Ship Date]], "d")</f>
        <v>4</v>
      </c>
      <c r="Y35">
        <f t="shared" ca="1" si="1"/>
        <v>2026</v>
      </c>
      <c r="Z35" s="159">
        <f>EOMONTH(data[[#This Row],[Order Date]],0)</f>
        <v>42277</v>
      </c>
      <c r="AA35" s="159" t="str">
        <f>LEFT(data[[#This Row],[Customer Name]],3)</f>
        <v>Tra</v>
      </c>
    </row>
    <row r="36" spans="1:27"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IF(data[[#This Row],[Sales]]&gt;500,"High","Low")</f>
        <v>Low</v>
      </c>
      <c r="W36" s="111">
        <f t="shared" ca="1" si="0"/>
        <v>46152.63727835648</v>
      </c>
      <c r="X36">
        <f>DATEDIF(data[[#This Row],[Order Date]], data[[#This Row],[Ship Date]], "d")</f>
        <v>4</v>
      </c>
      <c r="Y36">
        <f t="shared" ca="1" si="1"/>
        <v>2026</v>
      </c>
      <c r="Z36" s="159">
        <f>EOMONTH(data[[#This Row],[Order Date]],0)</f>
        <v>43039</v>
      </c>
      <c r="AA36" s="159" t="str">
        <f>LEFT(data[[#This Row],[Customer Name]],3)</f>
        <v>Mat</v>
      </c>
    </row>
    <row r="37" spans="1:27"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IF(data[[#This Row],[Sales]]&gt;500,"High","Low")</f>
        <v>High</v>
      </c>
      <c r="W37" s="111">
        <f t="shared" ca="1" si="0"/>
        <v>46152.63727835648</v>
      </c>
      <c r="X37">
        <f>DATEDIF(data[[#This Row],[Order Date]], data[[#This Row],[Ship Date]], "d")</f>
        <v>2</v>
      </c>
      <c r="Y37">
        <f t="shared" ca="1" si="1"/>
        <v>2026</v>
      </c>
      <c r="Z37" s="159">
        <f>EOMONTH(data[[#This Row],[Order Date]],0)</f>
        <v>42735</v>
      </c>
      <c r="AA37" s="159" t="str">
        <f>LEFT(data[[#This Row],[Customer Name]],3)</f>
        <v>Gen</v>
      </c>
    </row>
    <row r="38" spans="1:27"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IF(data[[#This Row],[Sales]]&gt;500,"High","Low")</f>
        <v>Low</v>
      </c>
      <c r="W38" s="111">
        <f t="shared" ca="1" si="0"/>
        <v>46152.63727835648</v>
      </c>
      <c r="X38">
        <f>DATEDIF(data[[#This Row],[Order Date]], data[[#This Row],[Ship Date]], "d")</f>
        <v>2</v>
      </c>
      <c r="Y38">
        <f t="shared" ca="1" si="1"/>
        <v>2026</v>
      </c>
      <c r="Z38" s="159">
        <f>EOMONTH(data[[#This Row],[Order Date]],0)</f>
        <v>42735</v>
      </c>
      <c r="AA38" s="159" t="str">
        <f>LEFT(data[[#This Row],[Customer Name]],3)</f>
        <v>Gen</v>
      </c>
    </row>
    <row r="39" spans="1:27"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IF(data[[#This Row],[Sales]]&gt;500,"High","Low")</f>
        <v>Low</v>
      </c>
      <c r="W39" s="111">
        <f t="shared" ca="1" si="0"/>
        <v>46152.63727835648</v>
      </c>
      <c r="X39">
        <f>DATEDIF(data[[#This Row],[Order Date]], data[[#This Row],[Ship Date]], "d")</f>
        <v>4</v>
      </c>
      <c r="Y39">
        <f t="shared" ca="1" si="1"/>
        <v>2026</v>
      </c>
      <c r="Z39" s="159">
        <f>EOMONTH(data[[#This Row],[Order Date]],0)</f>
        <v>42369</v>
      </c>
      <c r="AA39" s="159" t="str">
        <f>LEFT(data[[#This Row],[Customer Name]],3)</f>
        <v>Ste</v>
      </c>
    </row>
    <row r="40" spans="1:27"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IF(data[[#This Row],[Sales]]&gt;500,"High","Low")</f>
        <v>High</v>
      </c>
      <c r="W40" s="111">
        <f t="shared" ca="1" si="0"/>
        <v>46152.63727835648</v>
      </c>
      <c r="X40">
        <f>DATEDIF(data[[#This Row],[Order Date]], data[[#This Row],[Ship Date]], "d")</f>
        <v>4</v>
      </c>
      <c r="Y40">
        <f t="shared" ca="1" si="1"/>
        <v>2026</v>
      </c>
      <c r="Z40" s="159">
        <f>EOMONTH(data[[#This Row],[Order Date]],0)</f>
        <v>42369</v>
      </c>
      <c r="AA40" s="159" t="str">
        <f>LEFT(data[[#This Row],[Customer Name]],3)</f>
        <v>Ste</v>
      </c>
    </row>
    <row r="41" spans="1:27"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IF(data[[#This Row],[Sales]]&gt;500,"High","Low")</f>
        <v>Low</v>
      </c>
      <c r="W41" s="111">
        <f t="shared" ca="1" si="0"/>
        <v>46152.63727835648</v>
      </c>
      <c r="X41">
        <f>DATEDIF(data[[#This Row],[Order Date]], data[[#This Row],[Ship Date]], "d")</f>
        <v>4</v>
      </c>
      <c r="Y41">
        <f t="shared" ca="1" si="1"/>
        <v>2026</v>
      </c>
      <c r="Z41" s="159">
        <f>EOMONTH(data[[#This Row],[Order Date]],0)</f>
        <v>42369</v>
      </c>
      <c r="AA41" s="159" t="str">
        <f>LEFT(data[[#This Row],[Customer Name]],3)</f>
        <v>Ste</v>
      </c>
    </row>
    <row r="42" spans="1:27"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IF(data[[#This Row],[Sales]]&gt;500,"High","Low")</f>
        <v>Low</v>
      </c>
      <c r="W42" s="111">
        <f t="shared" ca="1" si="0"/>
        <v>46152.63727835648</v>
      </c>
      <c r="X42">
        <f>DATEDIF(data[[#This Row],[Order Date]], data[[#This Row],[Ship Date]], "d")</f>
        <v>4</v>
      </c>
      <c r="Y42">
        <f t="shared" ca="1" si="1"/>
        <v>2026</v>
      </c>
      <c r="Z42" s="159">
        <f>EOMONTH(data[[#This Row],[Order Date]],0)</f>
        <v>42369</v>
      </c>
      <c r="AA42" s="159" t="str">
        <f>LEFT(data[[#This Row],[Customer Name]],3)</f>
        <v>Ste</v>
      </c>
    </row>
    <row r="43" spans="1:27"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IF(data[[#This Row],[Sales]]&gt;500,"High","Low")</f>
        <v>Low</v>
      </c>
      <c r="W43" s="111">
        <f t="shared" ca="1" si="0"/>
        <v>46152.63727835648</v>
      </c>
      <c r="X43">
        <f>DATEDIF(data[[#This Row],[Order Date]], data[[#This Row],[Ship Date]], "d")</f>
        <v>5</v>
      </c>
      <c r="Y43">
        <f t="shared" ca="1" si="1"/>
        <v>2026</v>
      </c>
      <c r="Z43" s="159">
        <f>EOMONTH(data[[#This Row],[Order Date]],0)</f>
        <v>43008</v>
      </c>
      <c r="AA43" s="159" t="str">
        <f>LEFT(data[[#This Row],[Customer Name]],3)</f>
        <v>Lin</v>
      </c>
    </row>
    <row r="44" spans="1:27"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IF(data[[#This Row],[Sales]]&gt;500,"High","Low")</f>
        <v>Low</v>
      </c>
      <c r="W44" s="111">
        <f t="shared" ca="1" si="0"/>
        <v>46152.63727835648</v>
      </c>
      <c r="X44">
        <f>DATEDIF(data[[#This Row],[Order Date]], data[[#This Row],[Ship Date]], "d")</f>
        <v>5</v>
      </c>
      <c r="Y44">
        <f t="shared" ca="1" si="1"/>
        <v>2026</v>
      </c>
      <c r="Z44" s="159">
        <f>EOMONTH(data[[#This Row],[Order Date]],0)</f>
        <v>42582</v>
      </c>
      <c r="AA44" s="159" t="str">
        <f>LEFT(data[[#This Row],[Customer Name]],3)</f>
        <v>Rub</v>
      </c>
    </row>
    <row r="45" spans="1:27"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IF(data[[#This Row],[Sales]]&gt;500,"High","Low")</f>
        <v>Low</v>
      </c>
      <c r="W45" s="111">
        <f t="shared" ca="1" si="0"/>
        <v>46152.63727835648</v>
      </c>
      <c r="X45">
        <f>DATEDIF(data[[#This Row],[Order Date]], data[[#This Row],[Ship Date]], "d")</f>
        <v>4</v>
      </c>
      <c r="Y45">
        <f t="shared" ca="1" si="1"/>
        <v>2026</v>
      </c>
      <c r="Z45" s="159">
        <f>EOMONTH(data[[#This Row],[Order Date]],0)</f>
        <v>43008</v>
      </c>
      <c r="AA45" s="159" t="str">
        <f>LEFT(data[[#This Row],[Customer Name]],3)</f>
        <v>Eri</v>
      </c>
    </row>
    <row r="46" spans="1:27"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IF(data[[#This Row],[Sales]]&gt;500,"High","Low")</f>
        <v>Low</v>
      </c>
      <c r="W46" s="111">
        <f t="shared" ca="1" si="0"/>
        <v>46152.63727835648</v>
      </c>
      <c r="X46">
        <f>DATEDIF(data[[#This Row],[Order Date]], data[[#This Row],[Ship Date]], "d")</f>
        <v>2</v>
      </c>
      <c r="Y46">
        <f t="shared" ca="1" si="1"/>
        <v>2026</v>
      </c>
      <c r="Z46" s="159">
        <f>EOMONTH(data[[#This Row],[Order Date]],0)</f>
        <v>42460</v>
      </c>
      <c r="AA46" s="159" t="str">
        <f>LEFT(data[[#This Row],[Customer Name]],3)</f>
        <v>Ode</v>
      </c>
    </row>
    <row r="47" spans="1:27"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IF(data[[#This Row],[Sales]]&gt;500,"High","Low")</f>
        <v>Low</v>
      </c>
      <c r="W47" s="111">
        <f t="shared" ca="1" si="0"/>
        <v>46152.63727835648</v>
      </c>
      <c r="X47">
        <f>DATEDIF(data[[#This Row],[Order Date]], data[[#This Row],[Ship Date]], "d")</f>
        <v>2</v>
      </c>
      <c r="Y47">
        <f t="shared" ca="1" si="1"/>
        <v>2026</v>
      </c>
      <c r="Z47" s="159">
        <f>EOMONTH(data[[#This Row],[Order Date]],0)</f>
        <v>42460</v>
      </c>
      <c r="AA47" s="159" t="str">
        <f>LEFT(data[[#This Row],[Customer Name]],3)</f>
        <v>Ode</v>
      </c>
    </row>
    <row r="48" spans="1:27"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IF(data[[#This Row],[Sales]]&gt;500,"High","Low")</f>
        <v>Low</v>
      </c>
      <c r="W48" s="111">
        <f t="shared" ca="1" si="0"/>
        <v>46152.63727835648</v>
      </c>
      <c r="X48">
        <f>DATEDIF(data[[#This Row],[Order Date]], data[[#This Row],[Ship Date]], "d")</f>
        <v>5</v>
      </c>
      <c r="Y48">
        <f t="shared" ca="1" si="1"/>
        <v>2026</v>
      </c>
      <c r="Z48" s="159">
        <f>EOMONTH(data[[#This Row],[Order Date]],0)</f>
        <v>41943</v>
      </c>
      <c r="AA48" s="159" t="str">
        <f>LEFT(data[[#This Row],[Customer Name]],3)</f>
        <v>Pat</v>
      </c>
    </row>
    <row r="49" spans="1:27"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IF(data[[#This Row],[Sales]]&gt;500,"High","Low")</f>
        <v>Low</v>
      </c>
      <c r="W49" s="111">
        <f t="shared" ca="1" si="0"/>
        <v>46152.63727835648</v>
      </c>
      <c r="X49">
        <f>DATEDIF(data[[#This Row],[Order Date]], data[[#This Row],[Ship Date]], "d")</f>
        <v>5</v>
      </c>
      <c r="Y49">
        <f t="shared" ca="1" si="1"/>
        <v>2026</v>
      </c>
      <c r="Z49" s="159">
        <f>EOMONTH(data[[#This Row],[Order Date]],0)</f>
        <v>42551</v>
      </c>
      <c r="AA49" s="159" t="str">
        <f>LEFT(data[[#This Row],[Customer Name]],3)</f>
        <v>Len</v>
      </c>
    </row>
    <row r="50" spans="1:27"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IF(data[[#This Row],[Sales]]&gt;500,"High","Low")</f>
        <v>Low</v>
      </c>
      <c r="W50" s="111">
        <f t="shared" ca="1" si="0"/>
        <v>46152.63727835648</v>
      </c>
      <c r="X50">
        <f>DATEDIF(data[[#This Row],[Order Date]], data[[#This Row],[Ship Date]], "d")</f>
        <v>5</v>
      </c>
      <c r="Y50">
        <f t="shared" ca="1" si="1"/>
        <v>2026</v>
      </c>
      <c r="Z50" s="159">
        <f>EOMONTH(data[[#This Row],[Order Date]],0)</f>
        <v>42551</v>
      </c>
      <c r="AA50" s="159" t="str">
        <f>LEFT(data[[#This Row],[Customer Name]],3)</f>
        <v>Len</v>
      </c>
    </row>
    <row r="51" spans="1:27"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IF(data[[#This Row],[Sales]]&gt;500,"High","Low")</f>
        <v>Low</v>
      </c>
      <c r="W51" s="111">
        <f t="shared" ca="1" si="0"/>
        <v>46152.63727835648</v>
      </c>
      <c r="X51">
        <f>DATEDIF(data[[#This Row],[Order Date]], data[[#This Row],[Ship Date]], "d")</f>
        <v>4</v>
      </c>
      <c r="Y51">
        <f t="shared" ca="1" si="1"/>
        <v>2026</v>
      </c>
      <c r="Z51" s="159">
        <f>EOMONTH(data[[#This Row],[Order Date]],0)</f>
        <v>42124</v>
      </c>
      <c r="AA51" s="159" t="str">
        <f>LEFT(data[[#This Row],[Customer Name]],3)</f>
        <v>Dar</v>
      </c>
    </row>
    <row r="52" spans="1:27"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IF(data[[#This Row],[Sales]]&gt;500,"High","Low")</f>
        <v>Low</v>
      </c>
      <c r="W52" s="111">
        <f t="shared" ca="1" si="0"/>
        <v>46152.63727835648</v>
      </c>
      <c r="X52">
        <f>DATEDIF(data[[#This Row],[Order Date]], data[[#This Row],[Ship Date]], "d")</f>
        <v>4</v>
      </c>
      <c r="Y52">
        <f t="shared" ca="1" si="1"/>
        <v>2026</v>
      </c>
      <c r="Z52" s="159">
        <f>EOMONTH(data[[#This Row],[Order Date]],0)</f>
        <v>42124</v>
      </c>
      <c r="AA52" s="159" t="str">
        <f>LEFT(data[[#This Row],[Customer Name]],3)</f>
        <v>Dar</v>
      </c>
    </row>
    <row r="53" spans="1:27"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IF(data[[#This Row],[Sales]]&gt;500,"High","Low")</f>
        <v>Low</v>
      </c>
      <c r="W53" s="111">
        <f t="shared" ca="1" si="0"/>
        <v>46152.63727835648</v>
      </c>
      <c r="X53">
        <f>DATEDIF(data[[#This Row],[Order Date]], data[[#This Row],[Ship Date]], "d")</f>
        <v>4</v>
      </c>
      <c r="Y53">
        <f t="shared" ca="1" si="1"/>
        <v>2026</v>
      </c>
      <c r="Z53" s="159">
        <f>EOMONTH(data[[#This Row],[Order Date]],0)</f>
        <v>42124</v>
      </c>
      <c r="AA53" s="159" t="str">
        <f>LEFT(data[[#This Row],[Customer Name]],3)</f>
        <v>Dar</v>
      </c>
    </row>
    <row r="54" spans="1:27"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IF(data[[#This Row],[Sales]]&gt;500,"High","Low")</f>
        <v>Low</v>
      </c>
      <c r="W54" s="111">
        <f t="shared" ca="1" si="0"/>
        <v>46152.63727835648</v>
      </c>
      <c r="X54">
        <f>DATEDIF(data[[#This Row],[Order Date]], data[[#This Row],[Ship Date]], "d")</f>
        <v>4</v>
      </c>
      <c r="Y54">
        <f t="shared" ca="1" si="1"/>
        <v>2026</v>
      </c>
      <c r="Z54" s="159">
        <f>EOMONTH(data[[#This Row],[Order Date]],0)</f>
        <v>42124</v>
      </c>
      <c r="AA54" s="159" t="str">
        <f>LEFT(data[[#This Row],[Customer Name]],3)</f>
        <v>Dar</v>
      </c>
    </row>
    <row r="55" spans="1:27"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IF(data[[#This Row],[Sales]]&gt;500,"High","Low")</f>
        <v>Low</v>
      </c>
      <c r="W55" s="111">
        <f t="shared" ca="1" si="0"/>
        <v>46152.63727835648</v>
      </c>
      <c r="X55">
        <f>DATEDIF(data[[#This Row],[Order Date]], data[[#This Row],[Ship Date]], "d")</f>
        <v>6</v>
      </c>
      <c r="Y55">
        <f t="shared" ca="1" si="1"/>
        <v>2026</v>
      </c>
      <c r="Z55" s="159">
        <f>EOMONTH(data[[#This Row],[Order Date]],0)</f>
        <v>42735</v>
      </c>
      <c r="AA55" s="159" t="str">
        <f>LEFT(data[[#This Row],[Customer Name]],3)</f>
        <v>Jan</v>
      </c>
    </row>
    <row r="56" spans="1:27"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IF(data[[#This Row],[Sales]]&gt;500,"High","Low")</f>
        <v>High</v>
      </c>
      <c r="W56" s="111">
        <f t="shared" ca="1" si="0"/>
        <v>46152.63727835648</v>
      </c>
      <c r="X56">
        <f>DATEDIF(data[[#This Row],[Order Date]], data[[#This Row],[Ship Date]], "d")</f>
        <v>6</v>
      </c>
      <c r="Y56">
        <f t="shared" ca="1" si="1"/>
        <v>2026</v>
      </c>
      <c r="Z56" s="159">
        <f>EOMONTH(data[[#This Row],[Order Date]],0)</f>
        <v>42735</v>
      </c>
      <c r="AA56" s="159" t="str">
        <f>LEFT(data[[#This Row],[Customer Name]],3)</f>
        <v>Jan</v>
      </c>
    </row>
    <row r="57" spans="1:27"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IF(data[[#This Row],[Sales]]&gt;500,"High","Low")</f>
        <v>Low</v>
      </c>
      <c r="W57" s="111">
        <f t="shared" ca="1" si="0"/>
        <v>46152.63727835648</v>
      </c>
      <c r="X57">
        <f>DATEDIF(data[[#This Row],[Order Date]], data[[#This Row],[Ship Date]], "d")</f>
        <v>1</v>
      </c>
      <c r="Y57">
        <f t="shared" ca="1" si="1"/>
        <v>2026</v>
      </c>
      <c r="Z57" s="159">
        <f>EOMONTH(data[[#This Row],[Order Date]],0)</f>
        <v>42551</v>
      </c>
      <c r="AA57" s="159" t="str">
        <f>LEFT(data[[#This Row],[Customer Name]],3)</f>
        <v>Ted</v>
      </c>
    </row>
    <row r="58" spans="1:27"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IF(data[[#This Row],[Sales]]&gt;500,"High","Low")</f>
        <v>Low</v>
      </c>
      <c r="W58" s="111">
        <f t="shared" ca="1" si="0"/>
        <v>46152.63727835648</v>
      </c>
      <c r="X58">
        <f>DATEDIF(data[[#This Row],[Order Date]], data[[#This Row],[Ship Date]], "d")</f>
        <v>1</v>
      </c>
      <c r="Y58">
        <f t="shared" ca="1" si="1"/>
        <v>2026</v>
      </c>
      <c r="Z58" s="159">
        <f>EOMONTH(data[[#This Row],[Order Date]],0)</f>
        <v>42551</v>
      </c>
      <c r="AA58" s="159" t="str">
        <f>LEFT(data[[#This Row],[Customer Name]],3)</f>
        <v>Ted</v>
      </c>
    </row>
    <row r="59" spans="1:27"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IF(data[[#This Row],[Sales]]&gt;500,"High","Low")</f>
        <v>Low</v>
      </c>
      <c r="W59" s="111">
        <f t="shared" ca="1" si="0"/>
        <v>46152.63727835648</v>
      </c>
      <c r="X59">
        <f>DATEDIF(data[[#This Row],[Order Date]], data[[#This Row],[Ship Date]], "d")</f>
        <v>1</v>
      </c>
      <c r="Y59">
        <f t="shared" ca="1" si="1"/>
        <v>2026</v>
      </c>
      <c r="Z59" s="159">
        <f>EOMONTH(data[[#This Row],[Order Date]],0)</f>
        <v>42551</v>
      </c>
      <c r="AA59" s="159" t="str">
        <f>LEFT(data[[#This Row],[Customer Name]],3)</f>
        <v>Ted</v>
      </c>
    </row>
    <row r="60" spans="1:27"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IF(data[[#This Row],[Sales]]&gt;500,"High","Low")</f>
        <v>Low</v>
      </c>
      <c r="W60" s="111">
        <f t="shared" ca="1" si="0"/>
        <v>46152.63727835648</v>
      </c>
      <c r="X60">
        <f>DATEDIF(data[[#This Row],[Order Date]], data[[#This Row],[Ship Date]], "d")</f>
        <v>1</v>
      </c>
      <c r="Y60">
        <f t="shared" ca="1" si="1"/>
        <v>2026</v>
      </c>
      <c r="Z60" s="159">
        <f>EOMONTH(data[[#This Row],[Order Date]],0)</f>
        <v>42551</v>
      </c>
      <c r="AA60" s="159" t="str">
        <f>LEFT(data[[#This Row],[Customer Name]],3)</f>
        <v>Ted</v>
      </c>
    </row>
    <row r="61" spans="1:27"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IF(data[[#This Row],[Sales]]&gt;500,"High","Low")</f>
        <v>Low</v>
      </c>
      <c r="W61" s="111">
        <f t="shared" ca="1" si="0"/>
        <v>46152.63727835648</v>
      </c>
      <c r="X61">
        <f>DATEDIF(data[[#This Row],[Order Date]], data[[#This Row],[Ship Date]], "d")</f>
        <v>1</v>
      </c>
      <c r="Y61">
        <f t="shared" ca="1" si="1"/>
        <v>2026</v>
      </c>
      <c r="Z61" s="159">
        <f>EOMONTH(data[[#This Row],[Order Date]],0)</f>
        <v>42551</v>
      </c>
      <c r="AA61" s="159" t="str">
        <f>LEFT(data[[#This Row],[Customer Name]],3)</f>
        <v>Ted</v>
      </c>
    </row>
    <row r="62" spans="1:27"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IF(data[[#This Row],[Sales]]&gt;500,"High","Low")</f>
        <v>Low</v>
      </c>
      <c r="W62" s="111">
        <f t="shared" ca="1" si="0"/>
        <v>46152.63727835648</v>
      </c>
      <c r="X62">
        <f>DATEDIF(data[[#This Row],[Order Date]], data[[#This Row],[Ship Date]], "d")</f>
        <v>1</v>
      </c>
      <c r="Y62">
        <f t="shared" ca="1" si="1"/>
        <v>2026</v>
      </c>
      <c r="Z62" s="159">
        <f>EOMONTH(data[[#This Row],[Order Date]],0)</f>
        <v>42551</v>
      </c>
      <c r="AA62" s="159" t="str">
        <f>LEFT(data[[#This Row],[Customer Name]],3)</f>
        <v>Ted</v>
      </c>
    </row>
    <row r="63" spans="1:27"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IF(data[[#This Row],[Sales]]&gt;500,"High","Low")</f>
        <v>Low</v>
      </c>
      <c r="W63" s="111">
        <f t="shared" ca="1" si="0"/>
        <v>46152.63727835648</v>
      </c>
      <c r="X63">
        <f>DATEDIF(data[[#This Row],[Order Date]], data[[#This Row],[Ship Date]], "d")</f>
        <v>1</v>
      </c>
      <c r="Y63">
        <f t="shared" ca="1" si="1"/>
        <v>2026</v>
      </c>
      <c r="Z63" s="159">
        <f>EOMONTH(data[[#This Row],[Order Date]],0)</f>
        <v>42551</v>
      </c>
      <c r="AA63" s="159" t="str">
        <f>LEFT(data[[#This Row],[Customer Name]],3)</f>
        <v>Ted</v>
      </c>
    </row>
    <row r="64" spans="1:27"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IF(data[[#This Row],[Sales]]&gt;500,"High","Low")</f>
        <v>Low</v>
      </c>
      <c r="W64" s="111">
        <f t="shared" ca="1" si="0"/>
        <v>46152.63727835648</v>
      </c>
      <c r="X64">
        <f>DATEDIF(data[[#This Row],[Order Date]], data[[#This Row],[Ship Date]], "d")</f>
        <v>6</v>
      </c>
      <c r="Y64">
        <f t="shared" ca="1" si="1"/>
        <v>2026</v>
      </c>
      <c r="Z64" s="159">
        <f>EOMONTH(data[[#This Row],[Order Date]],0)</f>
        <v>42338</v>
      </c>
      <c r="AA64" s="159" t="str">
        <f>LEFT(data[[#This Row],[Customer Name]],3)</f>
        <v>Kun</v>
      </c>
    </row>
    <row r="65" spans="1:27"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IF(data[[#This Row],[Sales]]&gt;500,"High","Low")</f>
        <v>Low</v>
      </c>
      <c r="W65" s="111">
        <f t="shared" ca="1" si="0"/>
        <v>46152.63727835648</v>
      </c>
      <c r="X65">
        <f>DATEDIF(data[[#This Row],[Order Date]], data[[#This Row],[Ship Date]], "d")</f>
        <v>6</v>
      </c>
      <c r="Y65">
        <f t="shared" ca="1" si="1"/>
        <v>2026</v>
      </c>
      <c r="Z65" s="159">
        <f>EOMONTH(data[[#This Row],[Order Date]],0)</f>
        <v>42338</v>
      </c>
      <c r="AA65" s="159" t="str">
        <f>LEFT(data[[#This Row],[Customer Name]],3)</f>
        <v>Kun</v>
      </c>
    </row>
    <row r="66" spans="1:27"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IF(data[[#This Row],[Sales]]&gt;500,"High","Low")</f>
        <v>Low</v>
      </c>
      <c r="W66" s="111">
        <f t="shared" ref="W66:W129" ca="1" si="2">NOW()</f>
        <v>46152.63727835648</v>
      </c>
      <c r="X66">
        <f>DATEDIF(data[[#This Row],[Order Date]], data[[#This Row],[Ship Date]], "d")</f>
        <v>6</v>
      </c>
      <c r="Y66">
        <f t="shared" ref="Y66:Y129" ca="1" si="3">YEAR(TODAY())</f>
        <v>2026</v>
      </c>
      <c r="Z66" s="159">
        <f>EOMONTH(data[[#This Row],[Order Date]],0)</f>
        <v>42338</v>
      </c>
      <c r="AA66" s="159" t="str">
        <f>LEFT(data[[#This Row],[Customer Name]],3)</f>
        <v>Kun</v>
      </c>
    </row>
    <row r="67" spans="1:27"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IF(data[[#This Row],[Sales]]&gt;500,"High","Low")</f>
        <v>Low</v>
      </c>
      <c r="W67" s="111">
        <f t="shared" ca="1" si="2"/>
        <v>46152.63727835648</v>
      </c>
      <c r="X67">
        <f>DATEDIF(data[[#This Row],[Order Date]], data[[#This Row],[Ship Date]], "d")</f>
        <v>6</v>
      </c>
      <c r="Y67">
        <f t="shared" ca="1" si="3"/>
        <v>2026</v>
      </c>
      <c r="Z67" s="159">
        <f>EOMONTH(data[[#This Row],[Order Date]],0)</f>
        <v>42338</v>
      </c>
      <c r="AA67" s="159" t="str">
        <f>LEFT(data[[#This Row],[Customer Name]],3)</f>
        <v>Kun</v>
      </c>
    </row>
    <row r="68" spans="1:27"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IF(data[[#This Row],[Sales]]&gt;500,"High","Low")</f>
        <v>Low</v>
      </c>
      <c r="W68" s="111">
        <f t="shared" ca="1" si="2"/>
        <v>46152.63727835648</v>
      </c>
      <c r="X68">
        <f>DATEDIF(data[[#This Row],[Order Date]], data[[#This Row],[Ship Date]], "d")</f>
        <v>5</v>
      </c>
      <c r="Y68">
        <f t="shared" ca="1" si="3"/>
        <v>2026</v>
      </c>
      <c r="Z68" s="159">
        <f>EOMONTH(data[[#This Row],[Order Date]],0)</f>
        <v>42124</v>
      </c>
      <c r="AA68" s="159" t="str">
        <f>LEFT(data[[#This Row],[Customer Name]],3)</f>
        <v>Pau</v>
      </c>
    </row>
    <row r="69" spans="1:27"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IF(data[[#This Row],[Sales]]&gt;500,"High","Low")</f>
        <v>High</v>
      </c>
      <c r="W69" s="111">
        <f t="shared" ca="1" si="2"/>
        <v>46152.63727835648</v>
      </c>
      <c r="X69">
        <f>DATEDIF(data[[#This Row],[Order Date]], data[[#This Row],[Ship Date]], "d")</f>
        <v>5</v>
      </c>
      <c r="Y69">
        <f t="shared" ca="1" si="3"/>
        <v>2026</v>
      </c>
      <c r="Z69" s="159">
        <f>EOMONTH(data[[#This Row],[Order Date]],0)</f>
        <v>42004</v>
      </c>
      <c r="AA69" s="159" t="str">
        <f>LEFT(data[[#This Row],[Customer Name]],3)</f>
        <v>Bre</v>
      </c>
    </row>
    <row r="70" spans="1:27"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IF(data[[#This Row],[Sales]]&gt;500,"High","Low")</f>
        <v>Low</v>
      </c>
      <c r="W70" s="111">
        <f t="shared" ca="1" si="2"/>
        <v>46152.63727835648</v>
      </c>
      <c r="X70">
        <f>DATEDIF(data[[#This Row],[Order Date]], data[[#This Row],[Ship Date]], "d")</f>
        <v>5</v>
      </c>
      <c r="Y70">
        <f t="shared" ca="1" si="3"/>
        <v>2026</v>
      </c>
      <c r="Z70" s="159">
        <f>EOMONTH(data[[#This Row],[Order Date]],0)</f>
        <v>42004</v>
      </c>
      <c r="AA70" s="159" t="str">
        <f>LEFT(data[[#This Row],[Customer Name]],3)</f>
        <v>Bre</v>
      </c>
    </row>
    <row r="71" spans="1:27"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IF(data[[#This Row],[Sales]]&gt;500,"High","Low")</f>
        <v>Low</v>
      </c>
      <c r="W71" s="111">
        <f t="shared" ca="1" si="2"/>
        <v>46152.63727835648</v>
      </c>
      <c r="X71">
        <f>DATEDIF(data[[#This Row],[Order Date]], data[[#This Row],[Ship Date]], "d")</f>
        <v>2</v>
      </c>
      <c r="Y71">
        <f t="shared" ca="1" si="3"/>
        <v>2026</v>
      </c>
      <c r="Z71" s="159">
        <f>EOMONTH(data[[#This Row],[Order Date]],0)</f>
        <v>42551</v>
      </c>
      <c r="AA71" s="159" t="str">
        <f>LEFT(data[[#This Row],[Customer Name]],3)</f>
        <v>Kar</v>
      </c>
    </row>
    <row r="72" spans="1:27"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IF(data[[#This Row],[Sales]]&gt;500,"High","Low")</f>
        <v>Low</v>
      </c>
      <c r="W72" s="111">
        <f t="shared" ca="1" si="2"/>
        <v>46152.63727835648</v>
      </c>
      <c r="X72">
        <f>DATEDIF(data[[#This Row],[Order Date]], data[[#This Row],[Ship Date]], "d")</f>
        <v>5</v>
      </c>
      <c r="Y72">
        <f t="shared" ca="1" si="3"/>
        <v>2026</v>
      </c>
      <c r="Z72" s="159">
        <f>EOMONTH(data[[#This Row],[Order Date]],0)</f>
        <v>42643</v>
      </c>
      <c r="AA72" s="159" t="str">
        <f>LEFT(data[[#This Row],[Customer Name]],3)</f>
        <v>Hen</v>
      </c>
    </row>
    <row r="73" spans="1:27"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IF(data[[#This Row],[Sales]]&gt;500,"High","Low")</f>
        <v>Low</v>
      </c>
      <c r="W73" s="111">
        <f t="shared" ca="1" si="2"/>
        <v>46152.63727835648</v>
      </c>
      <c r="X73">
        <f>DATEDIF(data[[#This Row],[Order Date]], data[[#This Row],[Ship Date]], "d")</f>
        <v>3</v>
      </c>
      <c r="Y73">
        <f t="shared" ca="1" si="3"/>
        <v>2026</v>
      </c>
      <c r="Z73" s="159">
        <f>EOMONTH(data[[#This Row],[Order Date]],0)</f>
        <v>43008</v>
      </c>
      <c r="AA73" s="159" t="str">
        <f>LEFT(data[[#This Row],[Customer Name]],3)</f>
        <v>Tra</v>
      </c>
    </row>
    <row r="74" spans="1:27"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IF(data[[#This Row],[Sales]]&gt;500,"High","Low")</f>
        <v>High</v>
      </c>
      <c r="W74" s="111">
        <f t="shared" ca="1" si="2"/>
        <v>46152.63727835648</v>
      </c>
      <c r="X74">
        <f>DATEDIF(data[[#This Row],[Order Date]], data[[#This Row],[Ship Date]], "d")</f>
        <v>6</v>
      </c>
      <c r="Y74">
        <f t="shared" ca="1" si="3"/>
        <v>2026</v>
      </c>
      <c r="Z74" s="159">
        <f>EOMONTH(data[[#This Row],[Order Date]],0)</f>
        <v>42124</v>
      </c>
      <c r="AA74" s="159" t="str">
        <f>LEFT(data[[#This Row],[Customer Name]],3)</f>
        <v>Joe</v>
      </c>
    </row>
    <row r="75" spans="1:27"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IF(data[[#This Row],[Sales]]&gt;500,"High","Low")</f>
        <v>Low</v>
      </c>
      <c r="W75" s="111">
        <f t="shared" ca="1" si="2"/>
        <v>46152.63727835648</v>
      </c>
      <c r="X75">
        <f>DATEDIF(data[[#This Row],[Order Date]], data[[#This Row],[Ship Date]], "d")</f>
        <v>6</v>
      </c>
      <c r="Y75">
        <f t="shared" ca="1" si="3"/>
        <v>2026</v>
      </c>
      <c r="Z75" s="159">
        <f>EOMONTH(data[[#This Row],[Order Date]],0)</f>
        <v>42124</v>
      </c>
      <c r="AA75" s="159" t="str">
        <f>LEFT(data[[#This Row],[Customer Name]],3)</f>
        <v>Joe</v>
      </c>
    </row>
    <row r="76" spans="1:27"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IF(data[[#This Row],[Sales]]&gt;500,"High","Low")</f>
        <v>Low</v>
      </c>
      <c r="W76" s="111">
        <f t="shared" ca="1" si="2"/>
        <v>46152.63727835648</v>
      </c>
      <c r="X76">
        <f>DATEDIF(data[[#This Row],[Order Date]], data[[#This Row],[Ship Date]], "d")</f>
        <v>6</v>
      </c>
      <c r="Y76">
        <f t="shared" ca="1" si="3"/>
        <v>2026</v>
      </c>
      <c r="Z76" s="159">
        <f>EOMONTH(data[[#This Row],[Order Date]],0)</f>
        <v>42124</v>
      </c>
      <c r="AA76" s="159" t="str">
        <f>LEFT(data[[#This Row],[Customer Name]],3)</f>
        <v>Joe</v>
      </c>
    </row>
    <row r="77" spans="1:27"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IF(data[[#This Row],[Sales]]&gt;500,"High","Low")</f>
        <v>Low</v>
      </c>
      <c r="W77" s="111">
        <f t="shared" ca="1" si="2"/>
        <v>46152.63727835648</v>
      </c>
      <c r="X77">
        <f>DATEDIF(data[[#This Row],[Order Date]], data[[#This Row],[Ship Date]], "d")</f>
        <v>2</v>
      </c>
      <c r="Y77">
        <f t="shared" ca="1" si="3"/>
        <v>2026</v>
      </c>
      <c r="Z77" s="159">
        <f>EOMONTH(data[[#This Row],[Order Date]],0)</f>
        <v>43100</v>
      </c>
      <c r="AA77" s="159" t="str">
        <f>LEFT(data[[#This Row],[Customer Name]],3)</f>
        <v>Ken</v>
      </c>
    </row>
    <row r="78" spans="1:27"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IF(data[[#This Row],[Sales]]&gt;500,"High","Low")</f>
        <v>Low</v>
      </c>
      <c r="W78" s="111">
        <f t="shared" ca="1" si="2"/>
        <v>46152.63727835648</v>
      </c>
      <c r="X78">
        <f>DATEDIF(data[[#This Row],[Order Date]], data[[#This Row],[Ship Date]], "d")</f>
        <v>2</v>
      </c>
      <c r="Y78">
        <f t="shared" ca="1" si="3"/>
        <v>2026</v>
      </c>
      <c r="Z78" s="159">
        <f>EOMONTH(data[[#This Row],[Order Date]],0)</f>
        <v>43100</v>
      </c>
      <c r="AA78" s="159" t="str">
        <f>LEFT(data[[#This Row],[Customer Name]],3)</f>
        <v>Ken</v>
      </c>
    </row>
    <row r="79" spans="1:27"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IF(data[[#This Row],[Sales]]&gt;500,"High","Low")</f>
        <v>Low</v>
      </c>
      <c r="W79" s="111">
        <f t="shared" ca="1" si="2"/>
        <v>46152.63727835648</v>
      </c>
      <c r="X79">
        <f>DATEDIF(data[[#This Row],[Order Date]], data[[#This Row],[Ship Date]], "d")</f>
        <v>2</v>
      </c>
      <c r="Y79">
        <f t="shared" ca="1" si="3"/>
        <v>2026</v>
      </c>
      <c r="Z79" s="159">
        <f>EOMONTH(data[[#This Row],[Order Date]],0)</f>
        <v>43100</v>
      </c>
      <c r="AA79" s="159" t="str">
        <f>LEFT(data[[#This Row],[Customer Name]],3)</f>
        <v>Ken</v>
      </c>
    </row>
    <row r="80" spans="1:27"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IF(data[[#This Row],[Sales]]&gt;500,"High","Low")</f>
        <v>Low</v>
      </c>
      <c r="W80" s="111">
        <f t="shared" ca="1" si="2"/>
        <v>46152.63727835648</v>
      </c>
      <c r="X80">
        <f>DATEDIF(data[[#This Row],[Order Date]], data[[#This Row],[Ship Date]], "d")</f>
        <v>5</v>
      </c>
      <c r="Y80">
        <f t="shared" ca="1" si="3"/>
        <v>2026</v>
      </c>
      <c r="Z80" s="159">
        <f>EOMONTH(data[[#This Row],[Order Date]],0)</f>
        <v>41973</v>
      </c>
      <c r="AA80" s="159" t="str">
        <f>LEFT(data[[#This Row],[Customer Name]],3)</f>
        <v>Joe</v>
      </c>
    </row>
    <row r="81" spans="1:27"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IF(data[[#This Row],[Sales]]&gt;500,"High","Low")</f>
        <v>Low</v>
      </c>
      <c r="W81" s="111">
        <f t="shared" ca="1" si="2"/>
        <v>46152.63727835648</v>
      </c>
      <c r="X81">
        <f>DATEDIF(data[[#This Row],[Order Date]], data[[#This Row],[Ship Date]], "d")</f>
        <v>3</v>
      </c>
      <c r="Y81">
        <f t="shared" ca="1" si="3"/>
        <v>2026</v>
      </c>
      <c r="Z81" s="159">
        <f>EOMONTH(data[[#This Row],[Order Date]],0)</f>
        <v>42551</v>
      </c>
      <c r="AA81" s="159" t="str">
        <f>LEFT(data[[#This Row],[Customer Name]],3)</f>
        <v>Ste</v>
      </c>
    </row>
    <row r="82" spans="1:27"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IF(data[[#This Row],[Sales]]&gt;500,"High","Low")</f>
        <v>Low</v>
      </c>
      <c r="W82" s="111">
        <f t="shared" ca="1" si="2"/>
        <v>46152.63727835648</v>
      </c>
      <c r="X82">
        <f>DATEDIF(data[[#This Row],[Order Date]], data[[#This Row],[Ship Date]], "d")</f>
        <v>3</v>
      </c>
      <c r="Y82">
        <f t="shared" ca="1" si="3"/>
        <v>2026</v>
      </c>
      <c r="Z82" s="159">
        <f>EOMONTH(data[[#This Row],[Order Date]],0)</f>
        <v>42551</v>
      </c>
      <c r="AA82" s="159" t="str">
        <f>LEFT(data[[#This Row],[Customer Name]],3)</f>
        <v>Ste</v>
      </c>
    </row>
    <row r="83" spans="1:27"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IF(data[[#This Row],[Sales]]&gt;500,"High","Low")</f>
        <v>Low</v>
      </c>
      <c r="W83" s="111">
        <f t="shared" ca="1" si="2"/>
        <v>46152.63727835648</v>
      </c>
      <c r="X83">
        <f>DATEDIF(data[[#This Row],[Order Date]], data[[#This Row],[Ship Date]], "d")</f>
        <v>4</v>
      </c>
      <c r="Y83">
        <f t="shared" ca="1" si="3"/>
        <v>2026</v>
      </c>
      <c r="Z83" s="159">
        <f>EOMONTH(data[[#This Row],[Order Date]],0)</f>
        <v>41943</v>
      </c>
      <c r="AA83" s="159" t="str">
        <f>LEFT(data[[#This Row],[Customer Name]],3)</f>
        <v>Dua</v>
      </c>
    </row>
    <row r="84" spans="1:27"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IF(data[[#This Row],[Sales]]&gt;500,"High","Low")</f>
        <v>Low</v>
      </c>
      <c r="W84" s="111">
        <f t="shared" ca="1" si="2"/>
        <v>46152.63727835648</v>
      </c>
      <c r="X84">
        <f>DATEDIF(data[[#This Row],[Order Date]], data[[#This Row],[Ship Date]], "d")</f>
        <v>4</v>
      </c>
      <c r="Y84">
        <f t="shared" ca="1" si="3"/>
        <v>2026</v>
      </c>
      <c r="Z84" s="159">
        <f>EOMONTH(data[[#This Row],[Order Date]],0)</f>
        <v>41943</v>
      </c>
      <c r="AA84" s="159" t="str">
        <f>LEFT(data[[#This Row],[Customer Name]],3)</f>
        <v>Dua</v>
      </c>
    </row>
    <row r="85" spans="1:27"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IF(data[[#This Row],[Sales]]&gt;500,"High","Low")</f>
        <v>Low</v>
      </c>
      <c r="W85" s="111">
        <f t="shared" ca="1" si="2"/>
        <v>46152.63727835648</v>
      </c>
      <c r="X85">
        <f>DATEDIF(data[[#This Row],[Order Date]], data[[#This Row],[Ship Date]], "d")</f>
        <v>5</v>
      </c>
      <c r="Y85">
        <f t="shared" ca="1" si="3"/>
        <v>2026</v>
      </c>
      <c r="Z85" s="159">
        <f>EOMONTH(data[[#This Row],[Order Date]],0)</f>
        <v>42277</v>
      </c>
      <c r="AA85" s="159" t="str">
        <f>LEFT(data[[#This Row],[Customer Name]],3)</f>
        <v>Jul</v>
      </c>
    </row>
    <row r="86" spans="1:27"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IF(data[[#This Row],[Sales]]&gt;500,"High","Low")</f>
        <v>Low</v>
      </c>
      <c r="W86" s="111">
        <f t="shared" ca="1" si="2"/>
        <v>46152.63727835648</v>
      </c>
      <c r="X86">
        <f>DATEDIF(data[[#This Row],[Order Date]], data[[#This Row],[Ship Date]], "d")</f>
        <v>3</v>
      </c>
      <c r="Y86">
        <f t="shared" ca="1" si="3"/>
        <v>2026</v>
      </c>
      <c r="Z86" s="159">
        <f>EOMONTH(data[[#This Row],[Order Date]],0)</f>
        <v>43069</v>
      </c>
      <c r="AA86" s="159" t="str">
        <f>LEFT(data[[#This Row],[Customer Name]],3)</f>
        <v>Chr</v>
      </c>
    </row>
    <row r="87" spans="1:27"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IF(data[[#This Row],[Sales]]&gt;500,"High","Low")</f>
        <v>Low</v>
      </c>
      <c r="W87" s="111">
        <f t="shared" ca="1" si="2"/>
        <v>46152.63727835648</v>
      </c>
      <c r="X87">
        <f>DATEDIF(data[[#This Row],[Order Date]], data[[#This Row],[Ship Date]], "d")</f>
        <v>2</v>
      </c>
      <c r="Y87">
        <f t="shared" ca="1" si="3"/>
        <v>2026</v>
      </c>
      <c r="Z87" s="159">
        <f>EOMONTH(data[[#This Row],[Order Date]],0)</f>
        <v>42886</v>
      </c>
      <c r="AA87" s="159" t="str">
        <f>LEFT(data[[#This Row],[Customer Name]],3)</f>
        <v>Pat</v>
      </c>
    </row>
    <row r="88" spans="1:27"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IF(data[[#This Row],[Sales]]&gt;500,"High","Low")</f>
        <v>Low</v>
      </c>
      <c r="W88" s="111">
        <f t="shared" ca="1" si="2"/>
        <v>46152.63727835648</v>
      </c>
      <c r="X88">
        <f>DATEDIF(data[[#This Row],[Order Date]], data[[#This Row],[Ship Date]], "d")</f>
        <v>7</v>
      </c>
      <c r="Y88">
        <f t="shared" ca="1" si="3"/>
        <v>2026</v>
      </c>
      <c r="Z88" s="159">
        <f>EOMONTH(data[[#This Row],[Order Date]],0)</f>
        <v>43039</v>
      </c>
      <c r="AA88" s="159" t="str">
        <f>LEFT(data[[#This Row],[Customer Name]],3)</f>
        <v>Pau</v>
      </c>
    </row>
    <row r="89" spans="1:27"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IF(data[[#This Row],[Sales]]&gt;500,"High","Low")</f>
        <v>Low</v>
      </c>
      <c r="W89" s="111">
        <f t="shared" ca="1" si="2"/>
        <v>46152.63727835648</v>
      </c>
      <c r="X89">
        <f>DATEDIF(data[[#This Row],[Order Date]], data[[#This Row],[Ship Date]], "d")</f>
        <v>7</v>
      </c>
      <c r="Y89">
        <f t="shared" ca="1" si="3"/>
        <v>2026</v>
      </c>
      <c r="Z89" s="159">
        <f>EOMONTH(data[[#This Row],[Order Date]],0)</f>
        <v>43039</v>
      </c>
      <c r="AA89" s="159" t="str">
        <f>LEFT(data[[#This Row],[Customer Name]],3)</f>
        <v>Pau</v>
      </c>
    </row>
    <row r="90" spans="1:27"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IF(data[[#This Row],[Sales]]&gt;500,"High","Low")</f>
        <v>Low</v>
      </c>
      <c r="W90" s="111">
        <f t="shared" ca="1" si="2"/>
        <v>46152.63727835648</v>
      </c>
      <c r="X90">
        <f>DATEDIF(data[[#This Row],[Order Date]], data[[#This Row],[Ship Date]], "d")</f>
        <v>5</v>
      </c>
      <c r="Y90">
        <f t="shared" ca="1" si="3"/>
        <v>2026</v>
      </c>
      <c r="Z90" s="159">
        <f>EOMONTH(data[[#This Row],[Order Date]],0)</f>
        <v>42490</v>
      </c>
      <c r="AA90" s="159" t="str">
        <f>LEFT(data[[#This Row],[Customer Name]],3)</f>
        <v>Gar</v>
      </c>
    </row>
    <row r="91" spans="1:27"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IF(data[[#This Row],[Sales]]&gt;500,"High","Low")</f>
        <v>Low</v>
      </c>
      <c r="W91" s="111">
        <f t="shared" ca="1" si="2"/>
        <v>46152.63727835648</v>
      </c>
      <c r="X91">
        <f>DATEDIF(data[[#This Row],[Order Date]], data[[#This Row],[Ship Date]], "d")</f>
        <v>5</v>
      </c>
      <c r="Y91">
        <f t="shared" ca="1" si="3"/>
        <v>2026</v>
      </c>
      <c r="Z91" s="159">
        <f>EOMONTH(data[[#This Row],[Order Date]],0)</f>
        <v>42643</v>
      </c>
      <c r="AA91" s="159" t="str">
        <f>LEFT(data[[#This Row],[Customer Name]],3)</f>
        <v>Jim</v>
      </c>
    </row>
    <row r="92" spans="1:27"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IF(data[[#This Row],[Sales]]&gt;500,"High","Low")</f>
        <v>Low</v>
      </c>
      <c r="W92" s="111">
        <f t="shared" ca="1" si="2"/>
        <v>46152.63727835648</v>
      </c>
      <c r="X92">
        <f>DATEDIF(data[[#This Row],[Order Date]], data[[#This Row],[Ship Date]], "d")</f>
        <v>5</v>
      </c>
      <c r="Y92">
        <f t="shared" ca="1" si="3"/>
        <v>2026</v>
      </c>
      <c r="Z92" s="159">
        <f>EOMONTH(data[[#This Row],[Order Date]],0)</f>
        <v>42643</v>
      </c>
      <c r="AA92" s="159" t="str">
        <f>LEFT(data[[#This Row],[Customer Name]],3)</f>
        <v>Jim</v>
      </c>
    </row>
    <row r="93" spans="1:27"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IF(data[[#This Row],[Sales]]&gt;500,"High","Low")</f>
        <v>Low</v>
      </c>
      <c r="W93" s="111">
        <f t="shared" ca="1" si="2"/>
        <v>46152.63727835648</v>
      </c>
      <c r="X93">
        <f>DATEDIF(data[[#This Row],[Order Date]], data[[#This Row],[Ship Date]], "d")</f>
        <v>5</v>
      </c>
      <c r="Y93">
        <f t="shared" ca="1" si="3"/>
        <v>2026</v>
      </c>
      <c r="Z93" s="159">
        <f>EOMONTH(data[[#This Row],[Order Date]],0)</f>
        <v>42643</v>
      </c>
      <c r="AA93" s="159" t="str">
        <f>LEFT(data[[#This Row],[Customer Name]],3)</f>
        <v>Jim</v>
      </c>
    </row>
    <row r="94" spans="1:27"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IF(data[[#This Row],[Sales]]&gt;500,"High","Low")</f>
        <v>Low</v>
      </c>
      <c r="W94" s="111">
        <f t="shared" ca="1" si="2"/>
        <v>46152.63727835648</v>
      </c>
      <c r="X94">
        <f>DATEDIF(data[[#This Row],[Order Date]], data[[#This Row],[Ship Date]], "d")</f>
        <v>5</v>
      </c>
      <c r="Y94">
        <f t="shared" ca="1" si="3"/>
        <v>2026</v>
      </c>
      <c r="Z94" s="159">
        <f>EOMONTH(data[[#This Row],[Order Date]],0)</f>
        <v>42035</v>
      </c>
      <c r="AA94" s="159" t="str">
        <f>LEFT(data[[#This Row],[Customer Name]],3)</f>
        <v>Kar</v>
      </c>
    </row>
    <row r="95" spans="1:27"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IF(data[[#This Row],[Sales]]&gt;500,"High","Low")</f>
        <v>Low</v>
      </c>
      <c r="W95" s="111">
        <f t="shared" ca="1" si="2"/>
        <v>46152.63727835648</v>
      </c>
      <c r="X95">
        <f>DATEDIF(data[[#This Row],[Order Date]], data[[#This Row],[Ship Date]], "d")</f>
        <v>5</v>
      </c>
      <c r="Y95">
        <f t="shared" ca="1" si="3"/>
        <v>2026</v>
      </c>
      <c r="Z95" s="159">
        <f>EOMONTH(data[[#This Row],[Order Date]],0)</f>
        <v>42035</v>
      </c>
      <c r="AA95" s="159" t="str">
        <f>LEFT(data[[#This Row],[Customer Name]],3)</f>
        <v>Kar</v>
      </c>
    </row>
    <row r="96" spans="1:27"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IF(data[[#This Row],[Sales]]&gt;500,"High","Low")</f>
        <v>Low</v>
      </c>
      <c r="W96" s="111">
        <f t="shared" ca="1" si="2"/>
        <v>46152.63727835648</v>
      </c>
      <c r="X96">
        <f>DATEDIF(data[[#This Row],[Order Date]], data[[#This Row],[Ship Date]], "d")</f>
        <v>5</v>
      </c>
      <c r="Y96">
        <f t="shared" ca="1" si="3"/>
        <v>2026</v>
      </c>
      <c r="Z96" s="159">
        <f>EOMONTH(data[[#This Row],[Order Date]],0)</f>
        <v>42035</v>
      </c>
      <c r="AA96" s="159" t="str">
        <f>LEFT(data[[#This Row],[Customer Name]],3)</f>
        <v>Kar</v>
      </c>
    </row>
    <row r="97" spans="1:27"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IF(data[[#This Row],[Sales]]&gt;500,"High","Low")</f>
        <v>Low</v>
      </c>
      <c r="W97" s="111">
        <f t="shared" ca="1" si="2"/>
        <v>46152.63727835648</v>
      </c>
      <c r="X97">
        <f>DATEDIF(data[[#This Row],[Order Date]], data[[#This Row],[Ship Date]], "d")</f>
        <v>6</v>
      </c>
      <c r="Y97">
        <f t="shared" ca="1" si="3"/>
        <v>2026</v>
      </c>
      <c r="Z97" s="159">
        <f>EOMONTH(data[[#This Row],[Order Date]],0)</f>
        <v>43069</v>
      </c>
      <c r="AA97" s="159" t="str">
        <f>LEFT(data[[#This Row],[Customer Name]],3)</f>
        <v>Rog</v>
      </c>
    </row>
    <row r="98" spans="1:27"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IF(data[[#This Row],[Sales]]&gt;500,"High","Low")</f>
        <v>Low</v>
      </c>
      <c r="W98" s="111">
        <f t="shared" ca="1" si="2"/>
        <v>46152.63727835648</v>
      </c>
      <c r="X98">
        <f>DATEDIF(data[[#This Row],[Order Date]], data[[#This Row],[Ship Date]], "d")</f>
        <v>2</v>
      </c>
      <c r="Y98">
        <f t="shared" ca="1" si="3"/>
        <v>2026</v>
      </c>
      <c r="Z98" s="159">
        <f>EOMONTH(data[[#This Row],[Order Date]],0)</f>
        <v>43069</v>
      </c>
      <c r="AA98" s="159" t="str">
        <f>LEFT(data[[#This Row],[Customer Name]],3)</f>
        <v>Par</v>
      </c>
    </row>
    <row r="99" spans="1:27"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IF(data[[#This Row],[Sales]]&gt;500,"High","Low")</f>
        <v>Low</v>
      </c>
      <c r="W99" s="111">
        <f t="shared" ca="1" si="2"/>
        <v>46152.63727835648</v>
      </c>
      <c r="X99">
        <f>DATEDIF(data[[#This Row],[Order Date]], data[[#This Row],[Ship Date]], "d")</f>
        <v>3</v>
      </c>
      <c r="Y99">
        <f t="shared" ca="1" si="3"/>
        <v>2026</v>
      </c>
      <c r="Z99" s="159">
        <f>EOMONTH(data[[#This Row],[Order Date]],0)</f>
        <v>42916</v>
      </c>
      <c r="AA99" s="159" t="str">
        <f>LEFT(data[[#This Row],[Customer Name]],3)</f>
        <v>Kat</v>
      </c>
    </row>
    <row r="100" spans="1:27"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IF(data[[#This Row],[Sales]]&gt;500,"High","Low")</f>
        <v>Low</v>
      </c>
      <c r="W100" s="111">
        <f t="shared" ca="1" si="2"/>
        <v>46152.63727835648</v>
      </c>
      <c r="X100">
        <f>DATEDIF(data[[#This Row],[Order Date]], data[[#This Row],[Ship Date]], "d")</f>
        <v>5</v>
      </c>
      <c r="Y100">
        <f t="shared" ca="1" si="3"/>
        <v>2026</v>
      </c>
      <c r="Z100" s="159">
        <f>EOMONTH(data[[#This Row],[Order Date]],0)</f>
        <v>42643</v>
      </c>
      <c r="AA100" s="159" t="str">
        <f>LEFT(data[[#This Row],[Customer Name]],3)</f>
        <v>Elp</v>
      </c>
    </row>
    <row r="101" spans="1:27"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IF(data[[#This Row],[Sales]]&gt;500,"High","Low")</f>
        <v>Low</v>
      </c>
      <c r="W101" s="111">
        <f t="shared" ca="1" si="2"/>
        <v>46152.63727835648</v>
      </c>
      <c r="X101">
        <f>DATEDIF(data[[#This Row],[Order Date]], data[[#This Row],[Ship Date]], "d")</f>
        <v>4</v>
      </c>
      <c r="Y101">
        <f t="shared" ca="1" si="3"/>
        <v>2026</v>
      </c>
      <c r="Z101" s="159">
        <f>EOMONTH(data[[#This Row],[Order Date]],0)</f>
        <v>42613</v>
      </c>
      <c r="AA101" s="159" t="str">
        <f>LEFT(data[[#This Row],[Customer Name]],3)</f>
        <v>Ric</v>
      </c>
    </row>
    <row r="102" spans="1:27"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IF(data[[#This Row],[Sales]]&gt;500,"High","Low")</f>
        <v>Low</v>
      </c>
      <c r="W102" s="111">
        <f t="shared" ca="1" si="2"/>
        <v>46152.63727835648</v>
      </c>
      <c r="X102">
        <f>DATEDIF(data[[#This Row],[Order Date]], data[[#This Row],[Ship Date]], "d")</f>
        <v>4</v>
      </c>
      <c r="Y102">
        <f t="shared" ca="1" si="3"/>
        <v>2026</v>
      </c>
      <c r="Z102" s="159">
        <f>EOMONTH(data[[#This Row],[Order Date]],0)</f>
        <v>42613</v>
      </c>
      <c r="AA102" s="159" t="str">
        <f>LEFT(data[[#This Row],[Customer Name]],3)</f>
        <v>Ric</v>
      </c>
    </row>
    <row r="103" spans="1:27"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IF(data[[#This Row],[Sales]]&gt;500,"High","Low")</f>
        <v>Low</v>
      </c>
      <c r="W103" s="111">
        <f t="shared" ca="1" si="2"/>
        <v>46152.63727835648</v>
      </c>
      <c r="X103">
        <f>DATEDIF(data[[#This Row],[Order Date]], data[[#This Row],[Ship Date]], "d")</f>
        <v>4</v>
      </c>
      <c r="Y103">
        <f t="shared" ca="1" si="3"/>
        <v>2026</v>
      </c>
      <c r="Z103" s="159">
        <f>EOMONTH(data[[#This Row],[Order Date]],0)</f>
        <v>42613</v>
      </c>
      <c r="AA103" s="159" t="str">
        <f>LEFT(data[[#This Row],[Customer Name]],3)</f>
        <v>Ric</v>
      </c>
    </row>
    <row r="104" spans="1:27"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IF(data[[#This Row],[Sales]]&gt;500,"High","Low")</f>
        <v>Low</v>
      </c>
      <c r="W104" s="111">
        <f t="shared" ca="1" si="2"/>
        <v>46152.63727835648</v>
      </c>
      <c r="X104">
        <f>DATEDIF(data[[#This Row],[Order Date]], data[[#This Row],[Ship Date]], "d")</f>
        <v>3</v>
      </c>
      <c r="Y104">
        <f t="shared" ca="1" si="3"/>
        <v>2026</v>
      </c>
      <c r="Z104" s="159">
        <f>EOMONTH(data[[#This Row],[Order Date]],0)</f>
        <v>42735</v>
      </c>
      <c r="AA104" s="159" t="str">
        <f>LEFT(data[[#This Row],[Customer Name]],3)</f>
        <v>Gar</v>
      </c>
    </row>
    <row r="105" spans="1:27"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IF(data[[#This Row],[Sales]]&gt;500,"High","Low")</f>
        <v>Low</v>
      </c>
      <c r="W105" s="111">
        <f t="shared" ca="1" si="2"/>
        <v>46152.63727835648</v>
      </c>
      <c r="X105">
        <f>DATEDIF(data[[#This Row],[Order Date]], data[[#This Row],[Ship Date]], "d")</f>
        <v>4</v>
      </c>
      <c r="Y105">
        <f t="shared" ca="1" si="3"/>
        <v>2026</v>
      </c>
      <c r="Z105" s="159">
        <f>EOMONTH(data[[#This Row],[Order Date]],0)</f>
        <v>42338</v>
      </c>
      <c r="AA105" s="159" t="str">
        <f>LEFT(data[[#This Row],[Customer Name]],3)</f>
        <v>Len</v>
      </c>
    </row>
    <row r="106" spans="1:27"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IF(data[[#This Row],[Sales]]&gt;500,"High","Low")</f>
        <v>Low</v>
      </c>
      <c r="W106" s="111">
        <f t="shared" ca="1" si="2"/>
        <v>46152.63727835648</v>
      </c>
      <c r="X106">
        <f>DATEDIF(data[[#This Row],[Order Date]], data[[#This Row],[Ship Date]], "d")</f>
        <v>4</v>
      </c>
      <c r="Y106">
        <f t="shared" ca="1" si="3"/>
        <v>2026</v>
      </c>
      <c r="Z106" s="159">
        <f>EOMONTH(data[[#This Row],[Order Date]],0)</f>
        <v>42338</v>
      </c>
      <c r="AA106" s="159" t="str">
        <f>LEFT(data[[#This Row],[Customer Name]],3)</f>
        <v>Len</v>
      </c>
    </row>
    <row r="107" spans="1:27"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IF(data[[#This Row],[Sales]]&gt;500,"High","Low")</f>
        <v>Low</v>
      </c>
      <c r="W107" s="111">
        <f t="shared" ca="1" si="2"/>
        <v>46152.63727835648</v>
      </c>
      <c r="X107">
        <f>DATEDIF(data[[#This Row],[Order Date]], data[[#This Row],[Ship Date]], "d")</f>
        <v>4</v>
      </c>
      <c r="Y107">
        <f t="shared" ca="1" si="3"/>
        <v>2026</v>
      </c>
      <c r="Z107" s="159">
        <f>EOMONTH(data[[#This Row],[Order Date]],0)</f>
        <v>42338</v>
      </c>
      <c r="AA107" s="159" t="str">
        <f>LEFT(data[[#This Row],[Customer Name]],3)</f>
        <v>Len</v>
      </c>
    </row>
    <row r="108" spans="1:27"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IF(data[[#This Row],[Sales]]&gt;500,"High","Low")</f>
        <v>Low</v>
      </c>
      <c r="W108" s="111">
        <f t="shared" ca="1" si="2"/>
        <v>46152.63727835648</v>
      </c>
      <c r="X108">
        <f>DATEDIF(data[[#This Row],[Order Date]], data[[#This Row],[Ship Date]], "d")</f>
        <v>5</v>
      </c>
      <c r="Y108">
        <f t="shared" ca="1" si="3"/>
        <v>2026</v>
      </c>
      <c r="Z108" s="159">
        <f>EOMONTH(data[[#This Row],[Order Date]],0)</f>
        <v>43069</v>
      </c>
      <c r="AA108" s="159" t="str">
        <f>LEFT(data[[#This Row],[Customer Name]],3)</f>
        <v>Jan</v>
      </c>
    </row>
    <row r="109" spans="1:27"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IF(data[[#This Row],[Sales]]&gt;500,"High","Low")</f>
        <v>Low</v>
      </c>
      <c r="W109" s="111">
        <f t="shared" ca="1" si="2"/>
        <v>46152.63727835648</v>
      </c>
      <c r="X109">
        <f>DATEDIF(data[[#This Row],[Order Date]], data[[#This Row],[Ship Date]], "d")</f>
        <v>5</v>
      </c>
      <c r="Y109">
        <f t="shared" ca="1" si="3"/>
        <v>2026</v>
      </c>
      <c r="Z109" s="159">
        <f>EOMONTH(data[[#This Row],[Order Date]],0)</f>
        <v>43069</v>
      </c>
      <c r="AA109" s="159" t="str">
        <f>LEFT(data[[#This Row],[Customer Name]],3)</f>
        <v>Jan</v>
      </c>
    </row>
    <row r="110" spans="1:27"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IF(data[[#This Row],[Sales]]&gt;500,"High","Low")</f>
        <v>Low</v>
      </c>
      <c r="W110" s="111">
        <f t="shared" ca="1" si="2"/>
        <v>46152.63727835648</v>
      </c>
      <c r="X110">
        <f>DATEDIF(data[[#This Row],[Order Date]], data[[#This Row],[Ship Date]], "d")</f>
        <v>5</v>
      </c>
      <c r="Y110">
        <f t="shared" ca="1" si="3"/>
        <v>2026</v>
      </c>
      <c r="Z110" s="159">
        <f>EOMONTH(data[[#This Row],[Order Date]],0)</f>
        <v>43069</v>
      </c>
      <c r="AA110" s="159" t="str">
        <f>LEFT(data[[#This Row],[Customer Name]],3)</f>
        <v>Jan</v>
      </c>
    </row>
    <row r="111" spans="1:27"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IF(data[[#This Row],[Sales]]&gt;500,"High","Low")</f>
        <v>Low</v>
      </c>
      <c r="W111" s="111">
        <f t="shared" ca="1" si="2"/>
        <v>46152.63727835648</v>
      </c>
      <c r="X111">
        <f>DATEDIF(data[[#This Row],[Order Date]], data[[#This Row],[Ship Date]], "d")</f>
        <v>5</v>
      </c>
      <c r="Y111">
        <f t="shared" ca="1" si="3"/>
        <v>2026</v>
      </c>
      <c r="Z111" s="159">
        <f>EOMONTH(data[[#This Row],[Order Date]],0)</f>
        <v>42308</v>
      </c>
      <c r="AA111" s="159" t="str">
        <f>LEFT(data[[#This Row],[Customer Name]],3)</f>
        <v>Pet</v>
      </c>
    </row>
    <row r="112" spans="1:27"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IF(data[[#This Row],[Sales]]&gt;500,"High","Low")</f>
        <v>Low</v>
      </c>
      <c r="W112" s="111">
        <f t="shared" ca="1" si="2"/>
        <v>46152.63727835648</v>
      </c>
      <c r="X112">
        <f>DATEDIF(data[[#This Row],[Order Date]], data[[#This Row],[Ship Date]], "d")</f>
        <v>5</v>
      </c>
      <c r="Y112">
        <f t="shared" ca="1" si="3"/>
        <v>2026</v>
      </c>
      <c r="Z112" s="159">
        <f>EOMONTH(data[[#This Row],[Order Date]],0)</f>
        <v>43100</v>
      </c>
      <c r="AA112" s="159" t="str">
        <f>LEFT(data[[#This Row],[Customer Name]],3)</f>
        <v>Cyn</v>
      </c>
    </row>
    <row r="113" spans="1:27"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IF(data[[#This Row],[Sales]]&gt;500,"High","Low")</f>
        <v>Low</v>
      </c>
      <c r="W113" s="111">
        <f t="shared" ca="1" si="2"/>
        <v>46152.63727835648</v>
      </c>
      <c r="X113">
        <f>DATEDIF(data[[#This Row],[Order Date]], data[[#This Row],[Ship Date]], "d")</f>
        <v>7</v>
      </c>
      <c r="Y113">
        <f t="shared" ca="1" si="3"/>
        <v>2026</v>
      </c>
      <c r="Z113" s="159">
        <f>EOMONTH(data[[#This Row],[Order Date]],0)</f>
        <v>42704</v>
      </c>
      <c r="AA113" s="159" t="str">
        <f>LEFT(data[[#This Row],[Customer Name]],3)</f>
        <v>Cla</v>
      </c>
    </row>
    <row r="114" spans="1:27"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IF(data[[#This Row],[Sales]]&gt;500,"High","Low")</f>
        <v>Low</v>
      </c>
      <c r="W114" s="111">
        <f t="shared" ca="1" si="2"/>
        <v>46152.63727835648</v>
      </c>
      <c r="X114">
        <f>DATEDIF(data[[#This Row],[Order Date]], data[[#This Row],[Ship Date]], "d")</f>
        <v>7</v>
      </c>
      <c r="Y114">
        <f t="shared" ca="1" si="3"/>
        <v>2026</v>
      </c>
      <c r="Z114" s="159">
        <f>EOMONTH(data[[#This Row],[Order Date]],0)</f>
        <v>42704</v>
      </c>
      <c r="AA114" s="159" t="str">
        <f>LEFT(data[[#This Row],[Customer Name]],3)</f>
        <v>Cla</v>
      </c>
    </row>
    <row r="115" spans="1:27"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IF(data[[#This Row],[Sales]]&gt;500,"High","Low")</f>
        <v>Low</v>
      </c>
      <c r="W115" s="111">
        <f t="shared" ca="1" si="2"/>
        <v>46152.63727835648</v>
      </c>
      <c r="X115">
        <f>DATEDIF(data[[#This Row],[Order Date]], data[[#This Row],[Ship Date]], "d")</f>
        <v>2</v>
      </c>
      <c r="Y115">
        <f t="shared" ca="1" si="3"/>
        <v>2026</v>
      </c>
      <c r="Z115" s="159">
        <f>EOMONTH(data[[#This Row],[Order Date]],0)</f>
        <v>41882</v>
      </c>
      <c r="AA115" s="159" t="str">
        <f>LEFT(data[[#This Row],[Customer Name]],3)</f>
        <v>Rya</v>
      </c>
    </row>
    <row r="116" spans="1:27"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IF(data[[#This Row],[Sales]]&gt;500,"High","Low")</f>
        <v>Low</v>
      </c>
      <c r="W116" s="111">
        <f t="shared" ca="1" si="2"/>
        <v>46152.63727835648</v>
      </c>
      <c r="X116">
        <f>DATEDIF(data[[#This Row],[Order Date]], data[[#This Row],[Ship Date]], "d")</f>
        <v>2</v>
      </c>
      <c r="Y116">
        <f t="shared" ca="1" si="3"/>
        <v>2026</v>
      </c>
      <c r="Z116" s="159">
        <f>EOMONTH(data[[#This Row],[Order Date]],0)</f>
        <v>41882</v>
      </c>
      <c r="AA116" s="159" t="str">
        <f>LEFT(data[[#This Row],[Customer Name]],3)</f>
        <v>Rya</v>
      </c>
    </row>
    <row r="117" spans="1:27"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IF(data[[#This Row],[Sales]]&gt;500,"High","Low")</f>
        <v>Low</v>
      </c>
      <c r="W117" s="111">
        <f t="shared" ca="1" si="2"/>
        <v>46152.63727835648</v>
      </c>
      <c r="X117">
        <f>DATEDIF(data[[#This Row],[Order Date]], data[[#This Row],[Ship Date]], "d")</f>
        <v>2</v>
      </c>
      <c r="Y117">
        <f t="shared" ca="1" si="3"/>
        <v>2026</v>
      </c>
      <c r="Z117" s="159">
        <f>EOMONTH(data[[#This Row],[Order Date]],0)</f>
        <v>41882</v>
      </c>
      <c r="AA117" s="159" t="str">
        <f>LEFT(data[[#This Row],[Customer Name]],3)</f>
        <v>Rya</v>
      </c>
    </row>
    <row r="118" spans="1:27"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IF(data[[#This Row],[Sales]]&gt;500,"High","Low")</f>
        <v>Low</v>
      </c>
      <c r="W118" s="111">
        <f t="shared" ca="1" si="2"/>
        <v>46152.63727835648</v>
      </c>
      <c r="X118">
        <f>DATEDIF(data[[#This Row],[Order Date]], data[[#This Row],[Ship Date]], "d")</f>
        <v>2</v>
      </c>
      <c r="Y118">
        <f t="shared" ca="1" si="3"/>
        <v>2026</v>
      </c>
      <c r="Z118" s="159">
        <f>EOMONTH(data[[#This Row],[Order Date]],0)</f>
        <v>41882</v>
      </c>
      <c r="AA118" s="159" t="str">
        <f>LEFT(data[[#This Row],[Customer Name]],3)</f>
        <v>Rya</v>
      </c>
    </row>
    <row r="119" spans="1:27"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IF(data[[#This Row],[Sales]]&gt;500,"High","Low")</f>
        <v>High</v>
      </c>
      <c r="W119" s="111">
        <f t="shared" ca="1" si="2"/>
        <v>46152.63727835648</v>
      </c>
      <c r="X119">
        <f>DATEDIF(data[[#This Row],[Order Date]], data[[#This Row],[Ship Date]], "d")</f>
        <v>4</v>
      </c>
      <c r="Y119">
        <f t="shared" ca="1" si="3"/>
        <v>2026</v>
      </c>
      <c r="Z119" s="159">
        <f>EOMONTH(data[[#This Row],[Order Date]],0)</f>
        <v>42094</v>
      </c>
      <c r="AA119" s="159" t="str">
        <f>LEFT(data[[#This Row],[Customer Name]],3)</f>
        <v>Dav</v>
      </c>
    </row>
    <row r="120" spans="1:27"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IF(data[[#This Row],[Sales]]&gt;500,"High","Low")</f>
        <v>Low</v>
      </c>
      <c r="W120" s="111">
        <f t="shared" ca="1" si="2"/>
        <v>46152.63727835648</v>
      </c>
      <c r="X120">
        <f>DATEDIF(data[[#This Row],[Order Date]], data[[#This Row],[Ship Date]], "d")</f>
        <v>5</v>
      </c>
      <c r="Y120">
        <f t="shared" ca="1" si="3"/>
        <v>2026</v>
      </c>
      <c r="Z120" s="159">
        <f>EOMONTH(data[[#This Row],[Order Date]],0)</f>
        <v>42124</v>
      </c>
      <c r="AA120" s="159" t="str">
        <f>LEFT(data[[#This Row],[Customer Name]],3)</f>
        <v>Gre</v>
      </c>
    </row>
    <row r="121" spans="1:27"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IF(data[[#This Row],[Sales]]&gt;500,"High","Low")</f>
        <v>Low</v>
      </c>
      <c r="W121" s="111">
        <f t="shared" ca="1" si="2"/>
        <v>46152.63727835648</v>
      </c>
      <c r="X121">
        <f>DATEDIF(data[[#This Row],[Order Date]], data[[#This Row],[Ship Date]], "d")</f>
        <v>3</v>
      </c>
      <c r="Y121">
        <f t="shared" ca="1" si="3"/>
        <v>2026</v>
      </c>
      <c r="Z121" s="159">
        <f>EOMONTH(data[[#This Row],[Order Date]],0)</f>
        <v>42551</v>
      </c>
      <c r="AA121" s="159" t="str">
        <f>LEFT(data[[#This Row],[Customer Name]],3)</f>
        <v>Ste</v>
      </c>
    </row>
    <row r="122" spans="1:27"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IF(data[[#This Row],[Sales]]&gt;500,"High","Low")</f>
        <v>Low</v>
      </c>
      <c r="W122" s="111">
        <f t="shared" ca="1" si="2"/>
        <v>46152.63727835648</v>
      </c>
      <c r="X122">
        <f>DATEDIF(data[[#This Row],[Order Date]], data[[#This Row],[Ship Date]], "d")</f>
        <v>3</v>
      </c>
      <c r="Y122">
        <f t="shared" ca="1" si="3"/>
        <v>2026</v>
      </c>
      <c r="Z122" s="159">
        <f>EOMONTH(data[[#This Row],[Order Date]],0)</f>
        <v>42551</v>
      </c>
      <c r="AA122" s="159" t="str">
        <f>LEFT(data[[#This Row],[Customer Name]],3)</f>
        <v>Ste</v>
      </c>
    </row>
    <row r="123" spans="1:27"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IF(data[[#This Row],[Sales]]&gt;500,"High","Low")</f>
        <v>Low</v>
      </c>
      <c r="W123" s="111">
        <f t="shared" ca="1" si="2"/>
        <v>46152.63727835648</v>
      </c>
      <c r="X123">
        <f>DATEDIF(data[[#This Row],[Order Date]], data[[#This Row],[Ship Date]], "d")</f>
        <v>3</v>
      </c>
      <c r="Y123">
        <f t="shared" ca="1" si="3"/>
        <v>2026</v>
      </c>
      <c r="Z123" s="159">
        <f>EOMONTH(data[[#This Row],[Order Date]],0)</f>
        <v>42551</v>
      </c>
      <c r="AA123" s="159" t="str">
        <f>LEFT(data[[#This Row],[Customer Name]],3)</f>
        <v>Ste</v>
      </c>
    </row>
    <row r="124" spans="1:27"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IF(data[[#This Row],[Sales]]&gt;500,"High","Low")</f>
        <v>Low</v>
      </c>
      <c r="W124" s="111">
        <f t="shared" ca="1" si="2"/>
        <v>46152.63727835648</v>
      </c>
      <c r="X124">
        <f>DATEDIF(data[[#This Row],[Order Date]], data[[#This Row],[Ship Date]], "d")</f>
        <v>3</v>
      </c>
      <c r="Y124">
        <f t="shared" ca="1" si="3"/>
        <v>2026</v>
      </c>
      <c r="Z124" s="159">
        <f>EOMONTH(data[[#This Row],[Order Date]],0)</f>
        <v>42551</v>
      </c>
      <c r="AA124" s="159" t="str">
        <f>LEFT(data[[#This Row],[Customer Name]],3)</f>
        <v>Ste</v>
      </c>
    </row>
    <row r="125" spans="1:27"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IF(data[[#This Row],[Sales]]&gt;500,"High","Low")</f>
        <v>Low</v>
      </c>
      <c r="W125" s="111">
        <f t="shared" ca="1" si="2"/>
        <v>46152.63727835648</v>
      </c>
      <c r="X125">
        <f>DATEDIF(data[[#This Row],[Order Date]], data[[#This Row],[Ship Date]], "d")</f>
        <v>3</v>
      </c>
      <c r="Y125">
        <f t="shared" ca="1" si="3"/>
        <v>2026</v>
      </c>
      <c r="Z125" s="159">
        <f>EOMONTH(data[[#This Row],[Order Date]],0)</f>
        <v>42551</v>
      </c>
      <c r="AA125" s="159" t="str">
        <f>LEFT(data[[#This Row],[Customer Name]],3)</f>
        <v>Ste</v>
      </c>
    </row>
    <row r="126" spans="1:27"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IF(data[[#This Row],[Sales]]&gt;500,"High","Low")</f>
        <v>High</v>
      </c>
      <c r="W126" s="111">
        <f t="shared" ca="1" si="2"/>
        <v>46152.63727835648</v>
      </c>
      <c r="X126">
        <f>DATEDIF(data[[#This Row],[Order Date]], data[[#This Row],[Ship Date]], "d")</f>
        <v>2</v>
      </c>
      <c r="Y126">
        <f t="shared" ca="1" si="3"/>
        <v>2026</v>
      </c>
      <c r="Z126" s="159">
        <f>EOMONTH(data[[#This Row],[Order Date]],0)</f>
        <v>42004</v>
      </c>
      <c r="AA126" s="159" t="str">
        <f>LEFT(data[[#This Row],[Customer Name]],3)</f>
        <v>Ala</v>
      </c>
    </row>
    <row r="127" spans="1:27"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IF(data[[#This Row],[Sales]]&gt;500,"High","Low")</f>
        <v>High</v>
      </c>
      <c r="W127" s="111">
        <f t="shared" ca="1" si="2"/>
        <v>46152.63727835648</v>
      </c>
      <c r="X127">
        <f>DATEDIF(data[[#This Row],[Order Date]], data[[#This Row],[Ship Date]], "d")</f>
        <v>5</v>
      </c>
      <c r="Y127">
        <f t="shared" ca="1" si="3"/>
        <v>2026</v>
      </c>
      <c r="Z127" s="159">
        <f>EOMONTH(data[[#This Row],[Order Date]],0)</f>
        <v>41912</v>
      </c>
      <c r="AA127" s="159" t="str">
        <f>LEFT(data[[#This Row],[Customer Name]],3)</f>
        <v>Phi</v>
      </c>
    </row>
    <row r="128" spans="1:27"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IF(data[[#This Row],[Sales]]&gt;500,"High","Low")</f>
        <v>Low</v>
      </c>
      <c r="W128" s="111">
        <f t="shared" ca="1" si="2"/>
        <v>46152.63727835648</v>
      </c>
      <c r="X128">
        <f>DATEDIF(data[[#This Row],[Order Date]], data[[#This Row],[Ship Date]], "d")</f>
        <v>7</v>
      </c>
      <c r="Y128">
        <f t="shared" ca="1" si="3"/>
        <v>2026</v>
      </c>
      <c r="Z128" s="159">
        <f>EOMONTH(data[[#This Row],[Order Date]],0)</f>
        <v>43069</v>
      </c>
      <c r="AA128" s="159" t="str">
        <f>LEFT(data[[#This Row],[Customer Name]],3)</f>
        <v>Tro</v>
      </c>
    </row>
    <row r="129" spans="1:27"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IF(data[[#This Row],[Sales]]&gt;500,"High","Low")</f>
        <v>Low</v>
      </c>
      <c r="W129" s="111">
        <f t="shared" ca="1" si="2"/>
        <v>46152.63727835648</v>
      </c>
      <c r="X129">
        <f>DATEDIF(data[[#This Row],[Order Date]], data[[#This Row],[Ship Date]], "d")</f>
        <v>7</v>
      </c>
      <c r="Y129">
        <f t="shared" ca="1" si="3"/>
        <v>2026</v>
      </c>
      <c r="Z129" s="159">
        <f>EOMONTH(data[[#This Row],[Order Date]],0)</f>
        <v>43069</v>
      </c>
      <c r="AA129" s="159" t="str">
        <f>LEFT(data[[#This Row],[Customer Name]],3)</f>
        <v>Tro</v>
      </c>
    </row>
    <row r="130" spans="1:27"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IF(data[[#This Row],[Sales]]&gt;500,"High","Low")</f>
        <v>Low</v>
      </c>
      <c r="W130" s="111">
        <f t="shared" ref="W130:W193" ca="1" si="4">NOW()</f>
        <v>46152.63727835648</v>
      </c>
      <c r="X130">
        <f>DATEDIF(data[[#This Row],[Order Date]], data[[#This Row],[Ship Date]], "d")</f>
        <v>4</v>
      </c>
      <c r="Y130">
        <f t="shared" ref="Y130:Y193" ca="1" si="5">YEAR(TODAY())</f>
        <v>2026</v>
      </c>
      <c r="Z130" s="159">
        <f>EOMONTH(data[[#This Row],[Order Date]],0)</f>
        <v>42704</v>
      </c>
      <c r="AA130" s="159" t="str">
        <f>LEFT(data[[#This Row],[Customer Name]],3)</f>
        <v>Lin</v>
      </c>
    </row>
    <row r="131" spans="1:27"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IF(data[[#This Row],[Sales]]&gt;500,"High","Low")</f>
        <v>Low</v>
      </c>
      <c r="W131" s="111">
        <f t="shared" ca="1" si="4"/>
        <v>46152.63727835648</v>
      </c>
      <c r="X131">
        <f>DATEDIF(data[[#This Row],[Order Date]], data[[#This Row],[Ship Date]], "d")</f>
        <v>4</v>
      </c>
      <c r="Y131">
        <f t="shared" ca="1" si="5"/>
        <v>2026</v>
      </c>
      <c r="Z131" s="159">
        <f>EOMONTH(data[[#This Row],[Order Date]],0)</f>
        <v>42704</v>
      </c>
      <c r="AA131" s="159" t="str">
        <f>LEFT(data[[#This Row],[Customer Name]],3)</f>
        <v>Lin</v>
      </c>
    </row>
    <row r="132" spans="1:27"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IF(data[[#This Row],[Sales]]&gt;500,"High","Low")</f>
        <v>Low</v>
      </c>
      <c r="W132" s="111">
        <f t="shared" ca="1" si="4"/>
        <v>46152.63727835648</v>
      </c>
      <c r="X132">
        <f>DATEDIF(data[[#This Row],[Order Date]], data[[#This Row],[Ship Date]], "d")</f>
        <v>3</v>
      </c>
      <c r="Y132">
        <f t="shared" ca="1" si="5"/>
        <v>2026</v>
      </c>
      <c r="Z132" s="159">
        <f>EOMONTH(data[[#This Row],[Order Date]],0)</f>
        <v>42794</v>
      </c>
      <c r="AA132" s="159" t="str">
        <f>LEFT(data[[#This Row],[Customer Name]],3)</f>
        <v>Dor</v>
      </c>
    </row>
    <row r="133" spans="1:27"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IF(data[[#This Row],[Sales]]&gt;500,"High","Low")</f>
        <v>Low</v>
      </c>
      <c r="W133" s="111">
        <f t="shared" ca="1" si="4"/>
        <v>46152.63727835648</v>
      </c>
      <c r="X133">
        <f>DATEDIF(data[[#This Row],[Order Date]], data[[#This Row],[Ship Date]], "d")</f>
        <v>3</v>
      </c>
      <c r="Y133">
        <f t="shared" ca="1" si="5"/>
        <v>2026</v>
      </c>
      <c r="Z133" s="159">
        <f>EOMONTH(data[[#This Row],[Order Date]],0)</f>
        <v>42794</v>
      </c>
      <c r="AA133" s="159" t="str">
        <f>LEFT(data[[#This Row],[Customer Name]],3)</f>
        <v>Dor</v>
      </c>
    </row>
    <row r="134" spans="1:27"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IF(data[[#This Row],[Sales]]&gt;500,"High","Low")</f>
        <v>Low</v>
      </c>
      <c r="W134" s="111">
        <f t="shared" ca="1" si="4"/>
        <v>46152.63727835648</v>
      </c>
      <c r="X134">
        <f>DATEDIF(data[[#This Row],[Order Date]], data[[#This Row],[Ship Date]], "d")</f>
        <v>3</v>
      </c>
      <c r="Y134">
        <f t="shared" ca="1" si="5"/>
        <v>2026</v>
      </c>
      <c r="Z134" s="159">
        <f>EOMONTH(data[[#This Row],[Order Date]],0)</f>
        <v>42794</v>
      </c>
      <c r="AA134" s="159" t="str">
        <f>LEFT(data[[#This Row],[Customer Name]],3)</f>
        <v>Dor</v>
      </c>
    </row>
    <row r="135" spans="1:27"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IF(data[[#This Row],[Sales]]&gt;500,"High","Low")</f>
        <v>Low</v>
      </c>
      <c r="W135" s="111">
        <f t="shared" ca="1" si="4"/>
        <v>46152.63727835648</v>
      </c>
      <c r="X135">
        <f>DATEDIF(data[[#This Row],[Order Date]], data[[#This Row],[Ship Date]], "d")</f>
        <v>6</v>
      </c>
      <c r="Y135">
        <f t="shared" ca="1" si="5"/>
        <v>2026</v>
      </c>
      <c r="Z135" s="159">
        <f>EOMONTH(data[[#This Row],[Order Date]],0)</f>
        <v>42674</v>
      </c>
      <c r="AA135" s="159" t="str">
        <f>LEFT(data[[#This Row],[Customer Name]],3)</f>
        <v>Len</v>
      </c>
    </row>
    <row r="136" spans="1:27"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IF(data[[#This Row],[Sales]]&gt;500,"High","Low")</f>
        <v>Low</v>
      </c>
      <c r="W136" s="111">
        <f t="shared" ca="1" si="4"/>
        <v>46152.63727835648</v>
      </c>
      <c r="X136">
        <f>DATEDIF(data[[#This Row],[Order Date]], data[[#This Row],[Ship Date]], "d")</f>
        <v>6</v>
      </c>
      <c r="Y136">
        <f t="shared" ca="1" si="5"/>
        <v>2026</v>
      </c>
      <c r="Z136" s="159">
        <f>EOMONTH(data[[#This Row],[Order Date]],0)</f>
        <v>42674</v>
      </c>
      <c r="AA136" s="159" t="str">
        <f>LEFT(data[[#This Row],[Customer Name]],3)</f>
        <v>Len</v>
      </c>
    </row>
    <row r="137" spans="1:27"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IF(data[[#This Row],[Sales]]&gt;500,"High","Low")</f>
        <v>Low</v>
      </c>
      <c r="W137" s="111">
        <f t="shared" ca="1" si="4"/>
        <v>46152.63727835648</v>
      </c>
      <c r="X137">
        <f>DATEDIF(data[[#This Row],[Order Date]], data[[#This Row],[Ship Date]], "d")</f>
        <v>6</v>
      </c>
      <c r="Y137">
        <f t="shared" ca="1" si="5"/>
        <v>2026</v>
      </c>
      <c r="Z137" s="159">
        <f>EOMONTH(data[[#This Row],[Order Date]],0)</f>
        <v>42674</v>
      </c>
      <c r="AA137" s="159" t="str">
        <f>LEFT(data[[#This Row],[Customer Name]],3)</f>
        <v>Len</v>
      </c>
    </row>
    <row r="138" spans="1:27"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IF(data[[#This Row],[Sales]]&gt;500,"High","Low")</f>
        <v>Low</v>
      </c>
      <c r="W138" s="111">
        <f t="shared" ca="1" si="4"/>
        <v>46152.63727835648</v>
      </c>
      <c r="X138">
        <f>DATEDIF(data[[#This Row],[Order Date]], data[[#This Row],[Ship Date]], "d")</f>
        <v>6</v>
      </c>
      <c r="Y138">
        <f t="shared" ca="1" si="5"/>
        <v>2026</v>
      </c>
      <c r="Z138" s="159">
        <f>EOMONTH(data[[#This Row],[Order Date]],0)</f>
        <v>42674</v>
      </c>
      <c r="AA138" s="159" t="str">
        <f>LEFT(data[[#This Row],[Customer Name]],3)</f>
        <v>Len</v>
      </c>
    </row>
    <row r="139" spans="1:27"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IF(data[[#This Row],[Sales]]&gt;500,"High","Low")</f>
        <v>Low</v>
      </c>
      <c r="W139" s="111">
        <f t="shared" ca="1" si="4"/>
        <v>46152.63727835648</v>
      </c>
      <c r="X139">
        <f>DATEDIF(data[[#This Row],[Order Date]], data[[#This Row],[Ship Date]], "d")</f>
        <v>6</v>
      </c>
      <c r="Y139">
        <f t="shared" ca="1" si="5"/>
        <v>2026</v>
      </c>
      <c r="Z139" s="159">
        <f>EOMONTH(data[[#This Row],[Order Date]],0)</f>
        <v>42674</v>
      </c>
      <c r="AA139" s="159" t="str">
        <f>LEFT(data[[#This Row],[Customer Name]],3)</f>
        <v>Len</v>
      </c>
    </row>
    <row r="140" spans="1:27"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IF(data[[#This Row],[Sales]]&gt;500,"High","Low")</f>
        <v>Low</v>
      </c>
      <c r="W140" s="111">
        <f t="shared" ca="1" si="4"/>
        <v>46152.63727835648</v>
      </c>
      <c r="X140">
        <f>DATEDIF(data[[#This Row],[Order Date]], data[[#This Row],[Ship Date]], "d")</f>
        <v>6</v>
      </c>
      <c r="Y140">
        <f t="shared" ca="1" si="5"/>
        <v>2026</v>
      </c>
      <c r="Z140" s="159">
        <f>EOMONTH(data[[#This Row],[Order Date]],0)</f>
        <v>42674</v>
      </c>
      <c r="AA140" s="159" t="str">
        <f>LEFT(data[[#This Row],[Customer Name]],3)</f>
        <v>Len</v>
      </c>
    </row>
    <row r="141" spans="1:27"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IF(data[[#This Row],[Sales]]&gt;500,"High","Low")</f>
        <v>Low</v>
      </c>
      <c r="W141" s="111">
        <f t="shared" ca="1" si="4"/>
        <v>46152.63727835648</v>
      </c>
      <c r="X141">
        <f>DATEDIF(data[[#This Row],[Order Date]], data[[#This Row],[Ship Date]], "d")</f>
        <v>6</v>
      </c>
      <c r="Y141">
        <f t="shared" ca="1" si="5"/>
        <v>2026</v>
      </c>
      <c r="Z141" s="159">
        <f>EOMONTH(data[[#This Row],[Order Date]],0)</f>
        <v>42674</v>
      </c>
      <c r="AA141" s="159" t="str">
        <f>LEFT(data[[#This Row],[Customer Name]],3)</f>
        <v>Len</v>
      </c>
    </row>
    <row r="142" spans="1:27"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IF(data[[#This Row],[Sales]]&gt;500,"High","Low")</f>
        <v>Low</v>
      </c>
      <c r="W142" s="111">
        <f t="shared" ca="1" si="4"/>
        <v>46152.63727835648</v>
      </c>
      <c r="X142">
        <f>DATEDIF(data[[#This Row],[Order Date]], data[[#This Row],[Ship Date]], "d")</f>
        <v>2</v>
      </c>
      <c r="Y142">
        <f t="shared" ca="1" si="5"/>
        <v>2026</v>
      </c>
      <c r="Z142" s="159">
        <f>EOMONTH(data[[#This Row],[Order Date]],0)</f>
        <v>42643</v>
      </c>
      <c r="AA142" s="159" t="str">
        <f>LEFT(data[[#This Row],[Customer Name]],3)</f>
        <v>Jon</v>
      </c>
    </row>
    <row r="143" spans="1:27"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IF(data[[#This Row],[Sales]]&gt;500,"High","Low")</f>
        <v>Low</v>
      </c>
      <c r="W143" s="111">
        <f t="shared" ca="1" si="4"/>
        <v>46152.63727835648</v>
      </c>
      <c r="X143">
        <f>DATEDIF(data[[#This Row],[Order Date]], data[[#This Row],[Ship Date]], "d")</f>
        <v>5</v>
      </c>
      <c r="Y143">
        <f t="shared" ca="1" si="5"/>
        <v>2026</v>
      </c>
      <c r="Z143" s="159">
        <f>EOMONTH(data[[#This Row],[Order Date]],0)</f>
        <v>43008</v>
      </c>
      <c r="AA143" s="159" t="str">
        <f>LEFT(data[[#This Row],[Customer Name]],3)</f>
        <v>Sal</v>
      </c>
    </row>
    <row r="144" spans="1:27"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IF(data[[#This Row],[Sales]]&gt;500,"High","Low")</f>
        <v>Low</v>
      </c>
      <c r="W144" s="111">
        <f t="shared" ca="1" si="4"/>
        <v>46152.63727835648</v>
      </c>
      <c r="X144">
        <f>DATEDIF(data[[#This Row],[Order Date]], data[[#This Row],[Ship Date]], "d")</f>
        <v>5</v>
      </c>
      <c r="Y144">
        <f t="shared" ca="1" si="5"/>
        <v>2026</v>
      </c>
      <c r="Z144" s="159">
        <f>EOMONTH(data[[#This Row],[Order Date]],0)</f>
        <v>43008</v>
      </c>
      <c r="AA144" s="159" t="str">
        <f>LEFT(data[[#This Row],[Customer Name]],3)</f>
        <v>Sal</v>
      </c>
    </row>
    <row r="145" spans="1:27"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IF(data[[#This Row],[Sales]]&gt;500,"High","Low")</f>
        <v>Low</v>
      </c>
      <c r="W145" s="111">
        <f t="shared" ca="1" si="4"/>
        <v>46152.63727835648</v>
      </c>
      <c r="X145">
        <f>DATEDIF(data[[#This Row],[Order Date]], data[[#This Row],[Ship Date]], "d")</f>
        <v>5</v>
      </c>
      <c r="Y145">
        <f t="shared" ca="1" si="5"/>
        <v>2026</v>
      </c>
      <c r="Z145" s="159">
        <f>EOMONTH(data[[#This Row],[Order Date]],0)</f>
        <v>43008</v>
      </c>
      <c r="AA145" s="159" t="str">
        <f>LEFT(data[[#This Row],[Customer Name]],3)</f>
        <v>Sal</v>
      </c>
    </row>
    <row r="146" spans="1:27"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IF(data[[#This Row],[Sales]]&gt;500,"High","Low")</f>
        <v>High</v>
      </c>
      <c r="W146" s="111">
        <f t="shared" ca="1" si="4"/>
        <v>46152.63727835648</v>
      </c>
      <c r="X146">
        <f>DATEDIF(data[[#This Row],[Order Date]], data[[#This Row],[Ship Date]], "d")</f>
        <v>5</v>
      </c>
      <c r="Y146">
        <f t="shared" ca="1" si="5"/>
        <v>2026</v>
      </c>
      <c r="Z146" s="159">
        <f>EOMONTH(data[[#This Row],[Order Date]],0)</f>
        <v>43100</v>
      </c>
      <c r="AA146" s="159" t="str">
        <f>LEFT(data[[#This Row],[Customer Name]],3)</f>
        <v>San</v>
      </c>
    </row>
    <row r="147" spans="1:27"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IF(data[[#This Row],[Sales]]&gt;500,"High","Low")</f>
        <v>High</v>
      </c>
      <c r="W147" s="111">
        <f t="shared" ca="1" si="4"/>
        <v>46152.63727835648</v>
      </c>
      <c r="X147">
        <f>DATEDIF(data[[#This Row],[Order Date]], data[[#This Row],[Ship Date]], "d")</f>
        <v>5</v>
      </c>
      <c r="Y147">
        <f t="shared" ca="1" si="5"/>
        <v>2026</v>
      </c>
      <c r="Z147" s="159">
        <f>EOMONTH(data[[#This Row],[Order Date]],0)</f>
        <v>42277</v>
      </c>
      <c r="AA147" s="159" t="str">
        <f>LEFT(data[[#This Row],[Customer Name]],3)</f>
        <v>Hel</v>
      </c>
    </row>
    <row r="148" spans="1:27"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IF(data[[#This Row],[Sales]]&gt;500,"High","Low")</f>
        <v>Low</v>
      </c>
      <c r="W148" s="111">
        <f t="shared" ca="1" si="4"/>
        <v>46152.63727835648</v>
      </c>
      <c r="X148">
        <f>DATEDIF(data[[#This Row],[Order Date]], data[[#This Row],[Ship Date]], "d")</f>
        <v>6</v>
      </c>
      <c r="Y148">
        <f t="shared" ca="1" si="5"/>
        <v>2026</v>
      </c>
      <c r="Z148" s="159">
        <f>EOMONTH(data[[#This Row],[Order Date]],0)</f>
        <v>41943</v>
      </c>
      <c r="AA148" s="159" t="str">
        <f>LEFT(data[[#This Row],[Customer Name]],3)</f>
        <v>Mau</v>
      </c>
    </row>
    <row r="149" spans="1:27"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IF(data[[#This Row],[Sales]]&gt;500,"High","Low")</f>
        <v>Low</v>
      </c>
      <c r="W149" s="111">
        <f t="shared" ca="1" si="4"/>
        <v>46152.63727835648</v>
      </c>
      <c r="X149">
        <f>DATEDIF(data[[#This Row],[Order Date]], data[[#This Row],[Ship Date]], "d")</f>
        <v>4</v>
      </c>
      <c r="Y149">
        <f t="shared" ca="1" si="5"/>
        <v>2026</v>
      </c>
      <c r="Z149" s="159">
        <f>EOMONTH(data[[#This Row],[Order Date]],0)</f>
        <v>42735</v>
      </c>
      <c r="AA149" s="159" t="str">
        <f>LEFT(data[[#This Row],[Customer Name]],3)</f>
        <v>Jus</v>
      </c>
    </row>
    <row r="150" spans="1:27"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IF(data[[#This Row],[Sales]]&gt;500,"High","Low")</f>
        <v>Low</v>
      </c>
      <c r="W150" s="111">
        <f t="shared" ca="1" si="4"/>
        <v>46152.63727835648</v>
      </c>
      <c r="X150">
        <f>DATEDIF(data[[#This Row],[Order Date]], data[[#This Row],[Ship Date]], "d")</f>
        <v>4</v>
      </c>
      <c r="Y150">
        <f t="shared" ca="1" si="5"/>
        <v>2026</v>
      </c>
      <c r="Z150" s="159">
        <f>EOMONTH(data[[#This Row],[Order Date]],0)</f>
        <v>42735</v>
      </c>
      <c r="AA150" s="159" t="str">
        <f>LEFT(data[[#This Row],[Customer Name]],3)</f>
        <v>Jus</v>
      </c>
    </row>
    <row r="151" spans="1:27"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IF(data[[#This Row],[Sales]]&gt;500,"High","Low")</f>
        <v>High</v>
      </c>
      <c r="W151" s="111">
        <f t="shared" ca="1" si="4"/>
        <v>46152.63727835648</v>
      </c>
      <c r="X151">
        <f>DATEDIF(data[[#This Row],[Order Date]], data[[#This Row],[Ship Date]], "d")</f>
        <v>4</v>
      </c>
      <c r="Y151">
        <f t="shared" ca="1" si="5"/>
        <v>2026</v>
      </c>
      <c r="Z151" s="159">
        <f>EOMONTH(data[[#This Row],[Order Date]],0)</f>
        <v>42735</v>
      </c>
      <c r="AA151" s="159" t="str">
        <f>LEFT(data[[#This Row],[Customer Name]],3)</f>
        <v>Jus</v>
      </c>
    </row>
    <row r="152" spans="1:27"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IF(data[[#This Row],[Sales]]&gt;500,"High","Low")</f>
        <v>Low</v>
      </c>
      <c r="W152" s="111">
        <f t="shared" ca="1" si="4"/>
        <v>46152.63727835648</v>
      </c>
      <c r="X152">
        <f>DATEDIF(data[[#This Row],[Order Date]], data[[#This Row],[Ship Date]], "d")</f>
        <v>4</v>
      </c>
      <c r="Y152">
        <f t="shared" ca="1" si="5"/>
        <v>2026</v>
      </c>
      <c r="Z152" s="159">
        <f>EOMONTH(data[[#This Row],[Order Date]],0)</f>
        <v>42735</v>
      </c>
      <c r="AA152" s="159" t="str">
        <f>LEFT(data[[#This Row],[Customer Name]],3)</f>
        <v>Jus</v>
      </c>
    </row>
    <row r="153" spans="1:27"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IF(data[[#This Row],[Sales]]&gt;500,"High","Low")</f>
        <v>Low</v>
      </c>
      <c r="W153" s="111">
        <f t="shared" ca="1" si="4"/>
        <v>46152.63727835648</v>
      </c>
      <c r="X153">
        <f>DATEDIF(data[[#This Row],[Order Date]], data[[#This Row],[Ship Date]], "d")</f>
        <v>3</v>
      </c>
      <c r="Y153">
        <f t="shared" ca="1" si="5"/>
        <v>2026</v>
      </c>
      <c r="Z153" s="159">
        <f>EOMONTH(data[[#This Row],[Order Date]],0)</f>
        <v>42460</v>
      </c>
      <c r="AA153" s="159" t="str">
        <f>LEFT(data[[#This Row],[Customer Name]],3)</f>
        <v>Tam</v>
      </c>
    </row>
    <row r="154" spans="1:27"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IF(data[[#This Row],[Sales]]&gt;500,"High","Low")</f>
        <v>Low</v>
      </c>
      <c r="W154" s="111">
        <f t="shared" ca="1" si="4"/>
        <v>46152.63727835648</v>
      </c>
      <c r="X154">
        <f>DATEDIF(data[[#This Row],[Order Date]], data[[#This Row],[Ship Date]], "d")</f>
        <v>3</v>
      </c>
      <c r="Y154">
        <f t="shared" ca="1" si="5"/>
        <v>2026</v>
      </c>
      <c r="Z154" s="159">
        <f>EOMONTH(data[[#This Row],[Order Date]],0)</f>
        <v>42460</v>
      </c>
      <c r="AA154" s="159" t="str">
        <f>LEFT(data[[#This Row],[Customer Name]],3)</f>
        <v>Tam</v>
      </c>
    </row>
    <row r="155" spans="1:27"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IF(data[[#This Row],[Sales]]&gt;500,"High","Low")</f>
        <v>Low</v>
      </c>
      <c r="W155" s="111">
        <f t="shared" ca="1" si="4"/>
        <v>46152.63727835648</v>
      </c>
      <c r="X155">
        <f>DATEDIF(data[[#This Row],[Order Date]], data[[#This Row],[Ship Date]], "d")</f>
        <v>2</v>
      </c>
      <c r="Y155">
        <f t="shared" ca="1" si="5"/>
        <v>2026</v>
      </c>
      <c r="Z155" s="159">
        <f>EOMONTH(data[[#This Row],[Order Date]],0)</f>
        <v>42155</v>
      </c>
      <c r="AA155" s="159" t="str">
        <f>LEFT(data[[#This Row],[Customer Name]],3)</f>
        <v>Ste</v>
      </c>
    </row>
    <row r="156" spans="1:27"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IF(data[[#This Row],[Sales]]&gt;500,"High","Low")</f>
        <v>Low</v>
      </c>
      <c r="W156" s="111">
        <f t="shared" ca="1" si="4"/>
        <v>46152.63727835648</v>
      </c>
      <c r="X156">
        <f>DATEDIF(data[[#This Row],[Order Date]], data[[#This Row],[Ship Date]], "d")</f>
        <v>2</v>
      </c>
      <c r="Y156">
        <f t="shared" ca="1" si="5"/>
        <v>2026</v>
      </c>
      <c r="Z156" s="159">
        <f>EOMONTH(data[[#This Row],[Order Date]],0)</f>
        <v>42155</v>
      </c>
      <c r="AA156" s="159" t="str">
        <f>LEFT(data[[#This Row],[Customer Name]],3)</f>
        <v>Ste</v>
      </c>
    </row>
    <row r="157" spans="1:27"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IF(data[[#This Row],[Sales]]&gt;500,"High","Low")</f>
        <v>Low</v>
      </c>
      <c r="W157" s="111">
        <f t="shared" ca="1" si="4"/>
        <v>46152.63727835648</v>
      </c>
      <c r="X157">
        <f>DATEDIF(data[[#This Row],[Order Date]], data[[#This Row],[Ship Date]], "d")</f>
        <v>2</v>
      </c>
      <c r="Y157">
        <f t="shared" ca="1" si="5"/>
        <v>2026</v>
      </c>
      <c r="Z157" s="159">
        <f>EOMONTH(data[[#This Row],[Order Date]],0)</f>
        <v>42155</v>
      </c>
      <c r="AA157" s="159" t="str">
        <f>LEFT(data[[#This Row],[Customer Name]],3)</f>
        <v>Ste</v>
      </c>
    </row>
    <row r="158" spans="1:27"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IF(data[[#This Row],[Sales]]&gt;500,"High","Low")</f>
        <v>Low</v>
      </c>
      <c r="W158" s="111">
        <f t="shared" ca="1" si="4"/>
        <v>46152.63727835648</v>
      </c>
      <c r="X158">
        <f>DATEDIF(data[[#This Row],[Order Date]], data[[#This Row],[Ship Date]], "d")</f>
        <v>6</v>
      </c>
      <c r="Y158">
        <f t="shared" ca="1" si="5"/>
        <v>2026</v>
      </c>
      <c r="Z158" s="159">
        <f>EOMONTH(data[[#This Row],[Order Date]],0)</f>
        <v>42155</v>
      </c>
      <c r="AA158" s="159" t="str">
        <f>LEFT(data[[#This Row],[Customer Name]],3)</f>
        <v>Nei</v>
      </c>
    </row>
    <row r="159" spans="1:27"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IF(data[[#This Row],[Sales]]&gt;500,"High","Low")</f>
        <v>Low</v>
      </c>
      <c r="W159" s="111">
        <f t="shared" ca="1" si="4"/>
        <v>46152.63727835648</v>
      </c>
      <c r="X159">
        <f>DATEDIF(data[[#This Row],[Order Date]], data[[#This Row],[Ship Date]], "d")</f>
        <v>5</v>
      </c>
      <c r="Y159">
        <f t="shared" ca="1" si="5"/>
        <v>2026</v>
      </c>
      <c r="Z159" s="159">
        <f>EOMONTH(data[[#This Row],[Order Date]],0)</f>
        <v>41729</v>
      </c>
      <c r="AA159" s="159" t="str">
        <f>LEFT(data[[#This Row],[Customer Name]],3)</f>
        <v>Dav</v>
      </c>
    </row>
    <row r="160" spans="1:27"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IF(data[[#This Row],[Sales]]&gt;500,"High","Low")</f>
        <v>Low</v>
      </c>
      <c r="W160" s="111">
        <f t="shared" ca="1" si="4"/>
        <v>46152.63727835648</v>
      </c>
      <c r="X160">
        <f>DATEDIF(data[[#This Row],[Order Date]], data[[#This Row],[Ship Date]], "d")</f>
        <v>4</v>
      </c>
      <c r="Y160">
        <f t="shared" ca="1" si="5"/>
        <v>2026</v>
      </c>
      <c r="Z160" s="159">
        <f>EOMONTH(data[[#This Row],[Order Date]],0)</f>
        <v>42704</v>
      </c>
      <c r="AA160" s="159" t="str">
        <f>LEFT(data[[#This Row],[Customer Name]],3)</f>
        <v>Nor</v>
      </c>
    </row>
    <row r="161" spans="1:27"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IF(data[[#This Row],[Sales]]&gt;500,"High","Low")</f>
        <v>High</v>
      </c>
      <c r="W161" s="111">
        <f t="shared" ca="1" si="4"/>
        <v>46152.63727835648</v>
      </c>
      <c r="X161">
        <f>DATEDIF(data[[#This Row],[Order Date]], data[[#This Row],[Ship Date]], "d")</f>
        <v>4</v>
      </c>
      <c r="Y161">
        <f t="shared" ca="1" si="5"/>
        <v>2026</v>
      </c>
      <c r="Z161" s="159">
        <f>EOMONTH(data[[#This Row],[Order Date]],0)</f>
        <v>42704</v>
      </c>
      <c r="AA161" s="159" t="str">
        <f>LEFT(data[[#This Row],[Customer Name]],3)</f>
        <v>Nor</v>
      </c>
    </row>
    <row r="162" spans="1:27"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IF(data[[#This Row],[Sales]]&gt;500,"High","Low")</f>
        <v>Low</v>
      </c>
      <c r="W162" s="111">
        <f t="shared" ca="1" si="4"/>
        <v>46152.63727835648</v>
      </c>
      <c r="X162">
        <f>DATEDIF(data[[#This Row],[Order Date]], data[[#This Row],[Ship Date]], "d")</f>
        <v>1</v>
      </c>
      <c r="Y162">
        <f t="shared" ca="1" si="5"/>
        <v>2026</v>
      </c>
      <c r="Z162" s="159">
        <f>EOMONTH(data[[#This Row],[Order Date]],0)</f>
        <v>42521</v>
      </c>
      <c r="AA162" s="159" t="str">
        <f>LEFT(data[[#This Row],[Customer Name]],3)</f>
        <v>Ted</v>
      </c>
    </row>
    <row r="163" spans="1:27"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IF(data[[#This Row],[Sales]]&gt;500,"High","Low")</f>
        <v>Low</v>
      </c>
      <c r="W163" s="111">
        <f t="shared" ca="1" si="4"/>
        <v>46152.63727835648</v>
      </c>
      <c r="X163">
        <f>DATEDIF(data[[#This Row],[Order Date]], data[[#This Row],[Ship Date]], "d")</f>
        <v>3</v>
      </c>
      <c r="Y163">
        <f t="shared" ca="1" si="5"/>
        <v>2026</v>
      </c>
      <c r="Z163" s="159">
        <f>EOMONTH(data[[#This Row],[Order Date]],0)</f>
        <v>42369</v>
      </c>
      <c r="AA163" s="159" t="str">
        <f>LEFT(data[[#This Row],[Customer Name]],3)</f>
        <v>Eri</v>
      </c>
    </row>
    <row r="164" spans="1:27"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IF(data[[#This Row],[Sales]]&gt;500,"High","Low")</f>
        <v>Low</v>
      </c>
      <c r="W164" s="111">
        <f t="shared" ca="1" si="4"/>
        <v>46152.63727835648</v>
      </c>
      <c r="X164">
        <f>DATEDIF(data[[#This Row],[Order Date]], data[[#This Row],[Ship Date]], "d")</f>
        <v>4</v>
      </c>
      <c r="Y164">
        <f t="shared" ca="1" si="5"/>
        <v>2026</v>
      </c>
      <c r="Z164" s="159">
        <f>EOMONTH(data[[#This Row],[Order Date]],0)</f>
        <v>42704</v>
      </c>
      <c r="AA164" s="159" t="str">
        <f>LEFT(data[[#This Row],[Customer Name]],3)</f>
        <v>Rub</v>
      </c>
    </row>
    <row r="165" spans="1:27"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IF(data[[#This Row],[Sales]]&gt;500,"High","Low")</f>
        <v>Low</v>
      </c>
      <c r="W165" s="111">
        <f t="shared" ca="1" si="4"/>
        <v>46152.63727835648</v>
      </c>
      <c r="X165">
        <f>DATEDIF(data[[#This Row],[Order Date]], data[[#This Row],[Ship Date]], "d")</f>
        <v>4</v>
      </c>
      <c r="Y165">
        <f t="shared" ca="1" si="5"/>
        <v>2026</v>
      </c>
      <c r="Z165" s="159">
        <f>EOMONTH(data[[#This Row],[Order Date]],0)</f>
        <v>42704</v>
      </c>
      <c r="AA165" s="159" t="str">
        <f>LEFT(data[[#This Row],[Customer Name]],3)</f>
        <v>Max</v>
      </c>
    </row>
    <row r="166" spans="1:27"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IF(data[[#This Row],[Sales]]&gt;500,"High","Low")</f>
        <v>Low</v>
      </c>
      <c r="W166" s="111">
        <f t="shared" ca="1" si="4"/>
        <v>46152.63727835648</v>
      </c>
      <c r="X166">
        <f>DATEDIF(data[[#This Row],[Order Date]], data[[#This Row],[Ship Date]], "d")</f>
        <v>4</v>
      </c>
      <c r="Y166">
        <f t="shared" ca="1" si="5"/>
        <v>2026</v>
      </c>
      <c r="Z166" s="159">
        <f>EOMONTH(data[[#This Row],[Order Date]],0)</f>
        <v>41912</v>
      </c>
      <c r="AA166" s="159" t="str">
        <f>LEFT(data[[#This Row],[Customer Name]],3)</f>
        <v>Bec</v>
      </c>
    </row>
    <row r="167" spans="1:27"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IF(data[[#This Row],[Sales]]&gt;500,"High","Low")</f>
        <v>High</v>
      </c>
      <c r="W167" s="111">
        <f t="shared" ca="1" si="4"/>
        <v>46152.63727835648</v>
      </c>
      <c r="X167">
        <f>DATEDIF(data[[#This Row],[Order Date]], data[[#This Row],[Ship Date]], "d")</f>
        <v>4</v>
      </c>
      <c r="Y167">
        <f t="shared" ca="1" si="5"/>
        <v>2026</v>
      </c>
      <c r="Z167" s="159">
        <f>EOMONTH(data[[#This Row],[Order Date]],0)</f>
        <v>41912</v>
      </c>
      <c r="AA167" s="159" t="str">
        <f>LEFT(data[[#This Row],[Customer Name]],3)</f>
        <v>Bec</v>
      </c>
    </row>
    <row r="168" spans="1:27"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IF(data[[#This Row],[Sales]]&gt;500,"High","Low")</f>
        <v>Low</v>
      </c>
      <c r="W168" s="111">
        <f t="shared" ca="1" si="4"/>
        <v>46152.63727835648</v>
      </c>
      <c r="X168">
        <f>DATEDIF(data[[#This Row],[Order Date]], data[[#This Row],[Ship Date]], "d")</f>
        <v>4</v>
      </c>
      <c r="Y168">
        <f t="shared" ca="1" si="5"/>
        <v>2026</v>
      </c>
      <c r="Z168" s="159">
        <f>EOMONTH(data[[#This Row],[Order Date]],0)</f>
        <v>41912</v>
      </c>
      <c r="AA168" s="159" t="str">
        <f>LEFT(data[[#This Row],[Customer Name]],3)</f>
        <v>Bec</v>
      </c>
    </row>
    <row r="169" spans="1:27"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IF(data[[#This Row],[Sales]]&gt;500,"High","Low")</f>
        <v>High</v>
      </c>
      <c r="W169" s="111">
        <f t="shared" ca="1" si="4"/>
        <v>46152.63727835648</v>
      </c>
      <c r="X169">
        <f>DATEDIF(data[[#This Row],[Order Date]], data[[#This Row],[Ship Date]], "d")</f>
        <v>4</v>
      </c>
      <c r="Y169">
        <f t="shared" ca="1" si="5"/>
        <v>2026</v>
      </c>
      <c r="Z169" s="159">
        <f>EOMONTH(data[[#This Row],[Order Date]],0)</f>
        <v>41912</v>
      </c>
      <c r="AA169" s="159" t="str">
        <f>LEFT(data[[#This Row],[Customer Name]],3)</f>
        <v>Bec</v>
      </c>
    </row>
    <row r="170" spans="1:27"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IF(data[[#This Row],[Sales]]&gt;500,"High","Low")</f>
        <v>Low</v>
      </c>
      <c r="W170" s="111">
        <f t="shared" ca="1" si="4"/>
        <v>46152.63727835648</v>
      </c>
      <c r="X170">
        <f>DATEDIF(data[[#This Row],[Order Date]], data[[#This Row],[Ship Date]], "d")</f>
        <v>4</v>
      </c>
      <c r="Y170">
        <f t="shared" ca="1" si="5"/>
        <v>2026</v>
      </c>
      <c r="Z170" s="159">
        <f>EOMONTH(data[[#This Row],[Order Date]],0)</f>
        <v>41912</v>
      </c>
      <c r="AA170" s="159" t="str">
        <f>LEFT(data[[#This Row],[Customer Name]],3)</f>
        <v>Bec</v>
      </c>
    </row>
    <row r="171" spans="1:27"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IF(data[[#This Row],[Sales]]&gt;500,"High","Low")</f>
        <v>Low</v>
      </c>
      <c r="W171" s="111">
        <f t="shared" ca="1" si="4"/>
        <v>46152.63727835648</v>
      </c>
      <c r="X171">
        <f>DATEDIF(data[[#This Row],[Order Date]], data[[#This Row],[Ship Date]], "d")</f>
        <v>4</v>
      </c>
      <c r="Y171">
        <f t="shared" ca="1" si="5"/>
        <v>2026</v>
      </c>
      <c r="Z171" s="159">
        <f>EOMONTH(data[[#This Row],[Order Date]],0)</f>
        <v>41912</v>
      </c>
      <c r="AA171" s="159" t="str">
        <f>LEFT(data[[#This Row],[Customer Name]],3)</f>
        <v>Bec</v>
      </c>
    </row>
    <row r="172" spans="1:27"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IF(data[[#This Row],[Sales]]&gt;500,"High","Low")</f>
        <v>Low</v>
      </c>
      <c r="W172" s="111">
        <f t="shared" ca="1" si="4"/>
        <v>46152.63727835648</v>
      </c>
      <c r="X172">
        <f>DATEDIF(data[[#This Row],[Order Date]], data[[#This Row],[Ship Date]], "d")</f>
        <v>4</v>
      </c>
      <c r="Y172">
        <f t="shared" ca="1" si="5"/>
        <v>2026</v>
      </c>
      <c r="Z172" s="159">
        <f>EOMONTH(data[[#This Row],[Order Date]],0)</f>
        <v>41912</v>
      </c>
      <c r="AA172" s="159" t="str">
        <f>LEFT(data[[#This Row],[Customer Name]],3)</f>
        <v>Bec</v>
      </c>
    </row>
    <row r="173" spans="1:27"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IF(data[[#This Row],[Sales]]&gt;500,"High","Low")</f>
        <v>Low</v>
      </c>
      <c r="W173" s="111">
        <f t="shared" ca="1" si="4"/>
        <v>46152.63727835648</v>
      </c>
      <c r="X173">
        <f>DATEDIF(data[[#This Row],[Order Date]], data[[#This Row],[Ship Date]], "d")</f>
        <v>4</v>
      </c>
      <c r="Y173">
        <f t="shared" ca="1" si="5"/>
        <v>2026</v>
      </c>
      <c r="Z173" s="159">
        <f>EOMONTH(data[[#This Row],[Order Date]],0)</f>
        <v>41882</v>
      </c>
      <c r="AA173" s="159" t="str">
        <f>LEFT(data[[#This Row],[Customer Name]],3)</f>
        <v>Cha</v>
      </c>
    </row>
    <row r="174" spans="1:27"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IF(data[[#This Row],[Sales]]&gt;500,"High","Low")</f>
        <v>Low</v>
      </c>
      <c r="W174" s="111">
        <f t="shared" ca="1" si="4"/>
        <v>46152.63727835648</v>
      </c>
      <c r="X174">
        <f>DATEDIF(data[[#This Row],[Order Date]], data[[#This Row],[Ship Date]], "d")</f>
        <v>4</v>
      </c>
      <c r="Y174">
        <f t="shared" ca="1" si="5"/>
        <v>2026</v>
      </c>
      <c r="Z174" s="159">
        <f>EOMONTH(data[[#This Row],[Order Date]],0)</f>
        <v>41882</v>
      </c>
      <c r="AA174" s="159" t="str">
        <f>LEFT(data[[#This Row],[Customer Name]],3)</f>
        <v>Cha</v>
      </c>
    </row>
    <row r="175" spans="1:27"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IF(data[[#This Row],[Sales]]&gt;500,"High","Low")</f>
        <v>Low</v>
      </c>
      <c r="W175" s="111">
        <f t="shared" ca="1" si="4"/>
        <v>46152.63727835648</v>
      </c>
      <c r="X175">
        <f>DATEDIF(data[[#This Row],[Order Date]], data[[#This Row],[Ship Date]], "d")</f>
        <v>4</v>
      </c>
      <c r="Y175">
        <f t="shared" ca="1" si="5"/>
        <v>2026</v>
      </c>
      <c r="Z175" s="159">
        <f>EOMONTH(data[[#This Row],[Order Date]],0)</f>
        <v>41882</v>
      </c>
      <c r="AA175" s="159" t="str">
        <f>LEFT(data[[#This Row],[Customer Name]],3)</f>
        <v>Cha</v>
      </c>
    </row>
    <row r="176" spans="1:27"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IF(data[[#This Row],[Sales]]&gt;500,"High","Low")</f>
        <v>Low</v>
      </c>
      <c r="W176" s="111">
        <f t="shared" ca="1" si="4"/>
        <v>46152.63727835648</v>
      </c>
      <c r="X176">
        <f>DATEDIF(data[[#This Row],[Order Date]], data[[#This Row],[Ship Date]], "d")</f>
        <v>5</v>
      </c>
      <c r="Y176">
        <f t="shared" ca="1" si="5"/>
        <v>2026</v>
      </c>
      <c r="Z176" s="159">
        <f>EOMONTH(data[[#This Row],[Order Date]],0)</f>
        <v>41912</v>
      </c>
      <c r="AA176" s="159" t="str">
        <f>LEFT(data[[#This Row],[Customer Name]],3)</f>
        <v>Jen</v>
      </c>
    </row>
    <row r="177" spans="1:27"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IF(data[[#This Row],[Sales]]&gt;500,"High","Low")</f>
        <v>Low</v>
      </c>
      <c r="W177" s="111">
        <f t="shared" ca="1" si="4"/>
        <v>46152.63727835648</v>
      </c>
      <c r="X177">
        <f>DATEDIF(data[[#This Row],[Order Date]], data[[#This Row],[Ship Date]], "d")</f>
        <v>5</v>
      </c>
      <c r="Y177">
        <f t="shared" ca="1" si="5"/>
        <v>2026</v>
      </c>
      <c r="Z177" s="159">
        <f>EOMONTH(data[[#This Row],[Order Date]],0)</f>
        <v>41912</v>
      </c>
      <c r="AA177" s="159" t="str">
        <f>LEFT(data[[#This Row],[Customer Name]],3)</f>
        <v>Jen</v>
      </c>
    </row>
    <row r="178" spans="1:27"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IF(data[[#This Row],[Sales]]&gt;500,"High","Low")</f>
        <v>Low</v>
      </c>
      <c r="W178" s="111">
        <f t="shared" ca="1" si="4"/>
        <v>46152.63727835648</v>
      </c>
      <c r="X178">
        <f>DATEDIF(data[[#This Row],[Order Date]], data[[#This Row],[Ship Date]], "d")</f>
        <v>4</v>
      </c>
      <c r="Y178">
        <f t="shared" ca="1" si="5"/>
        <v>2026</v>
      </c>
      <c r="Z178" s="159">
        <f>EOMONTH(data[[#This Row],[Order Date]],0)</f>
        <v>42855</v>
      </c>
      <c r="AA178" s="159" t="str">
        <f>LEFT(data[[#This Row],[Customer Name]],3)</f>
        <v>Shi</v>
      </c>
    </row>
    <row r="179" spans="1:27"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IF(data[[#This Row],[Sales]]&gt;500,"High","Low")</f>
        <v>Low</v>
      </c>
      <c r="W179" s="111">
        <f t="shared" ca="1" si="4"/>
        <v>46152.63727835648</v>
      </c>
      <c r="X179">
        <f>DATEDIF(data[[#This Row],[Order Date]], data[[#This Row],[Ship Date]], "d")</f>
        <v>2</v>
      </c>
      <c r="Y179">
        <f t="shared" ca="1" si="5"/>
        <v>2026</v>
      </c>
      <c r="Z179" s="159">
        <f>EOMONTH(data[[#This Row],[Order Date]],0)</f>
        <v>42338</v>
      </c>
      <c r="AA179" s="159" t="str">
        <f>LEFT(data[[#This Row],[Customer Name]],3)</f>
        <v>Joe</v>
      </c>
    </row>
    <row r="180" spans="1:27"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IF(data[[#This Row],[Sales]]&gt;500,"High","Low")</f>
        <v>Low</v>
      </c>
      <c r="W180" s="111">
        <f t="shared" ca="1" si="4"/>
        <v>46152.63727835648</v>
      </c>
      <c r="X180">
        <f>DATEDIF(data[[#This Row],[Order Date]], data[[#This Row],[Ship Date]], "d")</f>
        <v>2</v>
      </c>
      <c r="Y180">
        <f t="shared" ca="1" si="5"/>
        <v>2026</v>
      </c>
      <c r="Z180" s="159">
        <f>EOMONTH(data[[#This Row],[Order Date]],0)</f>
        <v>42338</v>
      </c>
      <c r="AA180" s="159" t="str">
        <f>LEFT(data[[#This Row],[Customer Name]],3)</f>
        <v>Joe</v>
      </c>
    </row>
    <row r="181" spans="1:27"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IF(data[[#This Row],[Sales]]&gt;500,"High","Low")</f>
        <v>Low</v>
      </c>
      <c r="W181" s="111">
        <f t="shared" ca="1" si="4"/>
        <v>46152.63727835648</v>
      </c>
      <c r="X181">
        <f>DATEDIF(data[[#This Row],[Order Date]], data[[#This Row],[Ship Date]], "d")</f>
        <v>4</v>
      </c>
      <c r="Y181">
        <f t="shared" ca="1" si="5"/>
        <v>2026</v>
      </c>
      <c r="Z181" s="159">
        <f>EOMONTH(data[[#This Row],[Order Date]],0)</f>
        <v>42369</v>
      </c>
      <c r="AA181" s="159" t="str">
        <f>LEFT(data[[#This Row],[Customer Name]],3)</f>
        <v>Jim</v>
      </c>
    </row>
    <row r="182" spans="1:27"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IF(data[[#This Row],[Sales]]&gt;500,"High","Low")</f>
        <v>Low</v>
      </c>
      <c r="W182" s="111">
        <f t="shared" ca="1" si="4"/>
        <v>46152.63727835648</v>
      </c>
      <c r="X182">
        <f>DATEDIF(data[[#This Row],[Order Date]], data[[#This Row],[Ship Date]], "d")</f>
        <v>4</v>
      </c>
      <c r="Y182">
        <f t="shared" ca="1" si="5"/>
        <v>2026</v>
      </c>
      <c r="Z182" s="159">
        <f>EOMONTH(data[[#This Row],[Order Date]],0)</f>
        <v>42004</v>
      </c>
      <c r="AA182" s="159" t="str">
        <f>LEFT(data[[#This Row],[Customer Name]],3)</f>
        <v>Dav</v>
      </c>
    </row>
    <row r="183" spans="1:27"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IF(data[[#This Row],[Sales]]&gt;500,"High","Low")</f>
        <v>Low</v>
      </c>
      <c r="W183" s="111">
        <f t="shared" ca="1" si="4"/>
        <v>46152.63727835648</v>
      </c>
      <c r="X183">
        <f>DATEDIF(data[[#This Row],[Order Date]], data[[#This Row],[Ship Date]], "d")</f>
        <v>4</v>
      </c>
      <c r="Y183">
        <f t="shared" ca="1" si="5"/>
        <v>2026</v>
      </c>
      <c r="Z183" s="159">
        <f>EOMONTH(data[[#This Row],[Order Date]],0)</f>
        <v>42004</v>
      </c>
      <c r="AA183" s="159" t="str">
        <f>LEFT(data[[#This Row],[Customer Name]],3)</f>
        <v>Dav</v>
      </c>
    </row>
    <row r="184" spans="1:27"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IF(data[[#This Row],[Sales]]&gt;500,"High","Low")</f>
        <v>High</v>
      </c>
      <c r="W184" s="111">
        <f t="shared" ca="1" si="4"/>
        <v>46152.63727835648</v>
      </c>
      <c r="X184">
        <f>DATEDIF(data[[#This Row],[Order Date]], data[[#This Row],[Ship Date]], "d")</f>
        <v>5</v>
      </c>
      <c r="Y184">
        <f t="shared" ca="1" si="5"/>
        <v>2026</v>
      </c>
      <c r="Z184" s="159">
        <f>EOMONTH(data[[#This Row],[Order Date]],0)</f>
        <v>41973</v>
      </c>
      <c r="AA184" s="159" t="str">
        <f>LEFT(data[[#This Row],[Customer Name]],3)</f>
        <v>Rob</v>
      </c>
    </row>
    <row r="185" spans="1:27"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IF(data[[#This Row],[Sales]]&gt;500,"High","Low")</f>
        <v>Low</v>
      </c>
      <c r="W185" s="111">
        <f t="shared" ca="1" si="4"/>
        <v>46152.63727835648</v>
      </c>
      <c r="X185">
        <f>DATEDIF(data[[#This Row],[Order Date]], data[[#This Row],[Ship Date]], "d")</f>
        <v>5</v>
      </c>
      <c r="Y185">
        <f t="shared" ca="1" si="5"/>
        <v>2026</v>
      </c>
      <c r="Z185" s="159">
        <f>EOMONTH(data[[#This Row],[Order Date]],0)</f>
        <v>41973</v>
      </c>
      <c r="AA185" s="159" t="str">
        <f>LEFT(data[[#This Row],[Customer Name]],3)</f>
        <v>Rob</v>
      </c>
    </row>
    <row r="186" spans="1:27"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IF(data[[#This Row],[Sales]]&gt;500,"High","Low")</f>
        <v>Low</v>
      </c>
      <c r="W186" s="111">
        <f t="shared" ca="1" si="4"/>
        <v>46152.63727835648</v>
      </c>
      <c r="X186">
        <f>DATEDIF(data[[#This Row],[Order Date]], data[[#This Row],[Ship Date]], "d")</f>
        <v>5</v>
      </c>
      <c r="Y186">
        <f t="shared" ca="1" si="5"/>
        <v>2026</v>
      </c>
      <c r="Z186" s="159">
        <f>EOMONTH(data[[#This Row],[Order Date]],0)</f>
        <v>41973</v>
      </c>
      <c r="AA186" s="159" t="str">
        <f>LEFT(data[[#This Row],[Customer Name]],3)</f>
        <v>Rob</v>
      </c>
    </row>
    <row r="187" spans="1:27"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IF(data[[#This Row],[Sales]]&gt;500,"High","Low")</f>
        <v>Low</v>
      </c>
      <c r="W187" s="111">
        <f t="shared" ca="1" si="4"/>
        <v>46152.63727835648</v>
      </c>
      <c r="X187">
        <f>DATEDIF(data[[#This Row],[Order Date]], data[[#This Row],[Ship Date]], "d")</f>
        <v>4</v>
      </c>
      <c r="Y187">
        <f t="shared" ca="1" si="5"/>
        <v>2026</v>
      </c>
      <c r="Z187" s="159">
        <f>EOMONTH(data[[#This Row],[Order Date]],0)</f>
        <v>42704</v>
      </c>
      <c r="AA187" s="159" t="str">
        <f>LEFT(data[[#This Row],[Customer Name]],3)</f>
        <v>Sal</v>
      </c>
    </row>
    <row r="188" spans="1:27"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IF(data[[#This Row],[Sales]]&gt;500,"High","Low")</f>
        <v>Low</v>
      </c>
      <c r="W188" s="111">
        <f t="shared" ca="1" si="4"/>
        <v>46152.63727835648</v>
      </c>
      <c r="X188">
        <f>DATEDIF(data[[#This Row],[Order Date]], data[[#This Row],[Ship Date]], "d")</f>
        <v>4</v>
      </c>
      <c r="Y188">
        <f t="shared" ca="1" si="5"/>
        <v>2026</v>
      </c>
      <c r="Z188" s="159">
        <f>EOMONTH(data[[#This Row],[Order Date]],0)</f>
        <v>41882</v>
      </c>
      <c r="AA188" s="159" t="str">
        <f>LEFT(data[[#This Row],[Customer Name]],3)</f>
        <v>Fra</v>
      </c>
    </row>
    <row r="189" spans="1:27"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IF(data[[#This Row],[Sales]]&gt;500,"High","Low")</f>
        <v>Low</v>
      </c>
      <c r="W189" s="111">
        <f t="shared" ca="1" si="4"/>
        <v>46152.63727835648</v>
      </c>
      <c r="X189">
        <f>DATEDIF(data[[#This Row],[Order Date]], data[[#This Row],[Ship Date]], "d")</f>
        <v>6</v>
      </c>
      <c r="Y189">
        <f t="shared" ca="1" si="5"/>
        <v>2026</v>
      </c>
      <c r="Z189" s="159">
        <f>EOMONTH(data[[#This Row],[Order Date]],0)</f>
        <v>42582</v>
      </c>
      <c r="AA189" s="159" t="str">
        <f>LEFT(data[[#This Row],[Customer Name]],3)</f>
        <v>Ali</v>
      </c>
    </row>
    <row r="190" spans="1:27"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IF(data[[#This Row],[Sales]]&gt;500,"High","Low")</f>
        <v>Low</v>
      </c>
      <c r="W190" s="111">
        <f t="shared" ca="1" si="4"/>
        <v>46152.63727835648</v>
      </c>
      <c r="X190">
        <f>DATEDIF(data[[#This Row],[Order Date]], data[[#This Row],[Ship Date]], "d")</f>
        <v>6</v>
      </c>
      <c r="Y190">
        <f t="shared" ca="1" si="5"/>
        <v>2026</v>
      </c>
      <c r="Z190" s="159">
        <f>EOMONTH(data[[#This Row],[Order Date]],0)</f>
        <v>42582</v>
      </c>
      <c r="AA190" s="159" t="str">
        <f>LEFT(data[[#This Row],[Customer Name]],3)</f>
        <v>Ali</v>
      </c>
    </row>
    <row r="191" spans="1:27"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IF(data[[#This Row],[Sales]]&gt;500,"High","Low")</f>
        <v>High</v>
      </c>
      <c r="W191" s="111">
        <f t="shared" ca="1" si="4"/>
        <v>46152.63727835648</v>
      </c>
      <c r="X191">
        <f>DATEDIF(data[[#This Row],[Order Date]], data[[#This Row],[Ship Date]], "d")</f>
        <v>2</v>
      </c>
      <c r="Y191">
        <f t="shared" ca="1" si="5"/>
        <v>2026</v>
      </c>
      <c r="Z191" s="159">
        <f>EOMONTH(data[[#This Row],[Order Date]],0)</f>
        <v>42308</v>
      </c>
      <c r="AA191" s="159" t="str">
        <f>LEFT(data[[#This Row],[Customer Name]],3)</f>
        <v>Mar</v>
      </c>
    </row>
    <row r="192" spans="1:27"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IF(data[[#This Row],[Sales]]&gt;500,"High","Low")</f>
        <v>Low</v>
      </c>
      <c r="W192" s="111">
        <f t="shared" ca="1" si="4"/>
        <v>46152.63727835648</v>
      </c>
      <c r="X192">
        <f>DATEDIF(data[[#This Row],[Order Date]], data[[#This Row],[Ship Date]], "d")</f>
        <v>2</v>
      </c>
      <c r="Y192">
        <f t="shared" ca="1" si="5"/>
        <v>2026</v>
      </c>
      <c r="Z192" s="159">
        <f>EOMONTH(data[[#This Row],[Order Date]],0)</f>
        <v>42308</v>
      </c>
      <c r="AA192" s="159" t="str">
        <f>LEFT(data[[#This Row],[Customer Name]],3)</f>
        <v>Mar</v>
      </c>
    </row>
    <row r="193" spans="1:27"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IF(data[[#This Row],[Sales]]&gt;500,"High","Low")</f>
        <v>Low</v>
      </c>
      <c r="W193" s="111">
        <f t="shared" ca="1" si="4"/>
        <v>46152.63727835648</v>
      </c>
      <c r="X193">
        <f>DATEDIF(data[[#This Row],[Order Date]], data[[#This Row],[Ship Date]], "d")</f>
        <v>2</v>
      </c>
      <c r="Y193">
        <f t="shared" ca="1" si="5"/>
        <v>2026</v>
      </c>
      <c r="Z193" s="159">
        <f>EOMONTH(data[[#This Row],[Order Date]],0)</f>
        <v>42308</v>
      </c>
      <c r="AA193" s="159" t="str">
        <f>LEFT(data[[#This Row],[Customer Name]],3)</f>
        <v>Mar</v>
      </c>
    </row>
    <row r="194" spans="1:27"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IF(data[[#This Row],[Sales]]&gt;500,"High","Low")</f>
        <v>High</v>
      </c>
      <c r="W194" s="111">
        <f t="shared" ref="W194:W257" ca="1" si="6">NOW()</f>
        <v>46152.63727835648</v>
      </c>
      <c r="X194">
        <f>DATEDIF(data[[#This Row],[Order Date]], data[[#This Row],[Ship Date]], "d")</f>
        <v>2</v>
      </c>
      <c r="Y194">
        <f t="shared" ref="Y194:Y257" ca="1" si="7">YEAR(TODAY())</f>
        <v>2026</v>
      </c>
      <c r="Z194" s="159">
        <f>EOMONTH(data[[#This Row],[Order Date]],0)</f>
        <v>42308</v>
      </c>
      <c r="AA194" s="159" t="str">
        <f>LEFT(data[[#This Row],[Customer Name]],3)</f>
        <v>Mar</v>
      </c>
    </row>
    <row r="195" spans="1:27"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IF(data[[#This Row],[Sales]]&gt;500,"High","Low")</f>
        <v>Low</v>
      </c>
      <c r="W195" s="111">
        <f t="shared" ca="1" si="6"/>
        <v>46152.63727835648</v>
      </c>
      <c r="X195">
        <f>DATEDIF(data[[#This Row],[Order Date]], data[[#This Row],[Ship Date]], "d")</f>
        <v>2</v>
      </c>
      <c r="Y195">
        <f t="shared" ca="1" si="7"/>
        <v>2026</v>
      </c>
      <c r="Z195" s="159">
        <f>EOMONTH(data[[#This Row],[Order Date]],0)</f>
        <v>42308</v>
      </c>
      <c r="AA195" s="159" t="str">
        <f>LEFT(data[[#This Row],[Customer Name]],3)</f>
        <v>Mar</v>
      </c>
    </row>
    <row r="196" spans="1:27"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IF(data[[#This Row],[Sales]]&gt;500,"High","Low")</f>
        <v>Low</v>
      </c>
      <c r="W196" s="111">
        <f t="shared" ca="1" si="6"/>
        <v>46152.63727835648</v>
      </c>
      <c r="X196">
        <f>DATEDIF(data[[#This Row],[Order Date]], data[[#This Row],[Ship Date]], "d")</f>
        <v>6</v>
      </c>
      <c r="Y196">
        <f t="shared" ca="1" si="7"/>
        <v>2026</v>
      </c>
      <c r="Z196" s="159">
        <f>EOMONTH(data[[#This Row],[Order Date]],0)</f>
        <v>42308</v>
      </c>
      <c r="AA196" s="159" t="str">
        <f>LEFT(data[[#This Row],[Customer Name]],3)</f>
        <v>Mar</v>
      </c>
    </row>
    <row r="197" spans="1:27"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IF(data[[#This Row],[Sales]]&gt;500,"High","Low")</f>
        <v>Low</v>
      </c>
      <c r="W197" s="111">
        <f t="shared" ca="1" si="6"/>
        <v>46152.63727835648</v>
      </c>
      <c r="X197">
        <f>DATEDIF(data[[#This Row],[Order Date]], data[[#This Row],[Ship Date]], "d")</f>
        <v>4</v>
      </c>
      <c r="Y197">
        <f t="shared" ca="1" si="7"/>
        <v>2026</v>
      </c>
      <c r="Z197" s="159">
        <f>EOMONTH(data[[#This Row],[Order Date]],0)</f>
        <v>41729</v>
      </c>
      <c r="AA197" s="159" t="str">
        <f>LEFT(data[[#This Row],[Customer Name]],3)</f>
        <v>Cas</v>
      </c>
    </row>
    <row r="198" spans="1:27"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IF(data[[#This Row],[Sales]]&gt;500,"High","Low")</f>
        <v>Low</v>
      </c>
      <c r="W198" s="111">
        <f t="shared" ca="1" si="6"/>
        <v>46152.63727835648</v>
      </c>
      <c r="X198">
        <f>DATEDIF(data[[#This Row],[Order Date]], data[[#This Row],[Ship Date]], "d")</f>
        <v>4</v>
      </c>
      <c r="Y198">
        <f t="shared" ca="1" si="7"/>
        <v>2026</v>
      </c>
      <c r="Z198" s="159">
        <f>EOMONTH(data[[#This Row],[Order Date]],0)</f>
        <v>41729</v>
      </c>
      <c r="AA198" s="159" t="str">
        <f>LEFT(data[[#This Row],[Customer Name]],3)</f>
        <v>Cas</v>
      </c>
    </row>
    <row r="199" spans="1:27"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IF(data[[#This Row],[Sales]]&gt;500,"High","Low")</f>
        <v>Low</v>
      </c>
      <c r="W199" s="111">
        <f t="shared" ca="1" si="6"/>
        <v>46152.63727835648</v>
      </c>
      <c r="X199">
        <f>DATEDIF(data[[#This Row],[Order Date]], data[[#This Row],[Ship Date]], "d")</f>
        <v>7</v>
      </c>
      <c r="Y199">
        <f t="shared" ca="1" si="7"/>
        <v>2026</v>
      </c>
      <c r="Z199" s="159">
        <f>EOMONTH(data[[#This Row],[Order Date]],0)</f>
        <v>43069</v>
      </c>
      <c r="AA199" s="159" t="str">
        <f>LEFT(data[[#This Row],[Customer Name]],3)</f>
        <v>Val</v>
      </c>
    </row>
    <row r="200" spans="1:27"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IF(data[[#This Row],[Sales]]&gt;500,"High","Low")</f>
        <v>Low</v>
      </c>
      <c r="W200" s="111">
        <f t="shared" ca="1" si="6"/>
        <v>46152.63727835648</v>
      </c>
      <c r="X200">
        <f>DATEDIF(data[[#This Row],[Order Date]], data[[#This Row],[Ship Date]], "d")</f>
        <v>7</v>
      </c>
      <c r="Y200">
        <f t="shared" ca="1" si="7"/>
        <v>2026</v>
      </c>
      <c r="Z200" s="159">
        <f>EOMONTH(data[[#This Row],[Order Date]],0)</f>
        <v>42947</v>
      </c>
      <c r="AA200" s="159" t="str">
        <f>LEFT(data[[#This Row],[Customer Name]],3)</f>
        <v>Fre</v>
      </c>
    </row>
    <row r="201" spans="1:27"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IF(data[[#This Row],[Sales]]&gt;500,"High","Low")</f>
        <v>Low</v>
      </c>
      <c r="W201" s="111">
        <f t="shared" ca="1" si="6"/>
        <v>46152.63727835648</v>
      </c>
      <c r="X201">
        <f>DATEDIF(data[[#This Row],[Order Date]], data[[#This Row],[Ship Date]], "d")</f>
        <v>7</v>
      </c>
      <c r="Y201">
        <f t="shared" ca="1" si="7"/>
        <v>2026</v>
      </c>
      <c r="Z201" s="159">
        <f>EOMONTH(data[[#This Row],[Order Date]],0)</f>
        <v>42947</v>
      </c>
      <c r="AA201" s="159" t="str">
        <f>LEFT(data[[#This Row],[Customer Name]],3)</f>
        <v>Fre</v>
      </c>
    </row>
    <row r="202" spans="1:27"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IF(data[[#This Row],[Sales]]&gt;500,"High","Low")</f>
        <v>Low</v>
      </c>
      <c r="W202" s="111">
        <f t="shared" ca="1" si="6"/>
        <v>46152.63727835648</v>
      </c>
      <c r="X202">
        <f>DATEDIF(data[[#This Row],[Order Date]], data[[#This Row],[Ship Date]], "d")</f>
        <v>5</v>
      </c>
      <c r="Y202">
        <f t="shared" ca="1" si="7"/>
        <v>2026</v>
      </c>
      <c r="Z202" s="159">
        <f>EOMONTH(data[[#This Row],[Order Date]],0)</f>
        <v>42916</v>
      </c>
      <c r="AA202" s="159" t="str">
        <f>LEFT(data[[#This Row],[Customer Name]],3)</f>
        <v>Mar</v>
      </c>
    </row>
    <row r="203" spans="1:27"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IF(data[[#This Row],[Sales]]&gt;500,"High","Low")</f>
        <v>Low</v>
      </c>
      <c r="W203" s="111">
        <f t="shared" ca="1" si="6"/>
        <v>46152.63727835648</v>
      </c>
      <c r="X203">
        <f>DATEDIF(data[[#This Row],[Order Date]], data[[#This Row],[Ship Date]], "d")</f>
        <v>2</v>
      </c>
      <c r="Y203">
        <f t="shared" ca="1" si="7"/>
        <v>2026</v>
      </c>
      <c r="Z203" s="159">
        <f>EOMONTH(data[[#This Row],[Order Date]],0)</f>
        <v>41882</v>
      </c>
      <c r="AA203" s="159" t="str">
        <f>LEFT(data[[#This Row],[Customer Name]],3)</f>
        <v>Bru</v>
      </c>
    </row>
    <row r="204" spans="1:27"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IF(data[[#This Row],[Sales]]&gt;500,"High","Low")</f>
        <v>Low</v>
      </c>
      <c r="W204" s="111">
        <f t="shared" ca="1" si="6"/>
        <v>46152.63727835648</v>
      </c>
      <c r="X204">
        <f>DATEDIF(data[[#This Row],[Order Date]], data[[#This Row],[Ship Date]], "d")</f>
        <v>2</v>
      </c>
      <c r="Y204">
        <f t="shared" ca="1" si="7"/>
        <v>2026</v>
      </c>
      <c r="Z204" s="159">
        <f>EOMONTH(data[[#This Row],[Order Date]],0)</f>
        <v>41882</v>
      </c>
      <c r="AA204" s="159" t="str">
        <f>LEFT(data[[#This Row],[Customer Name]],3)</f>
        <v>Bru</v>
      </c>
    </row>
    <row r="205" spans="1:27"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IF(data[[#This Row],[Sales]]&gt;500,"High","Low")</f>
        <v>Low</v>
      </c>
      <c r="W205" s="111">
        <f t="shared" ca="1" si="6"/>
        <v>46152.63727835648</v>
      </c>
      <c r="X205">
        <f>DATEDIF(data[[#This Row],[Order Date]], data[[#This Row],[Ship Date]], "d")</f>
        <v>4</v>
      </c>
      <c r="Y205">
        <f t="shared" ca="1" si="7"/>
        <v>2026</v>
      </c>
      <c r="Z205" s="159">
        <f>EOMONTH(data[[#This Row],[Order Date]],0)</f>
        <v>43100</v>
      </c>
      <c r="AA205" s="159" t="str">
        <f>LEFT(data[[#This Row],[Customer Name]],3)</f>
        <v>Log</v>
      </c>
    </row>
    <row r="206" spans="1:27"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IF(data[[#This Row],[Sales]]&gt;500,"High","Low")</f>
        <v>Low</v>
      </c>
      <c r="W206" s="111">
        <f t="shared" ca="1" si="6"/>
        <v>46152.63727835648</v>
      </c>
      <c r="X206">
        <f>DATEDIF(data[[#This Row],[Order Date]], data[[#This Row],[Ship Date]], "d")</f>
        <v>4</v>
      </c>
      <c r="Y206">
        <f t="shared" ca="1" si="7"/>
        <v>2026</v>
      </c>
      <c r="Z206" s="159">
        <f>EOMONTH(data[[#This Row],[Order Date]],0)</f>
        <v>42916</v>
      </c>
      <c r="AA206" s="159" t="str">
        <f>LEFT(data[[#This Row],[Customer Name]],3)</f>
        <v>Hea</v>
      </c>
    </row>
    <row r="207" spans="1:27"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IF(data[[#This Row],[Sales]]&gt;500,"High","Low")</f>
        <v>Low</v>
      </c>
      <c r="W207" s="111">
        <f t="shared" ca="1" si="6"/>
        <v>46152.63727835648</v>
      </c>
      <c r="X207">
        <f>DATEDIF(data[[#This Row],[Order Date]], data[[#This Row],[Ship Date]], "d")</f>
        <v>5</v>
      </c>
      <c r="Y207">
        <f t="shared" ca="1" si="7"/>
        <v>2026</v>
      </c>
      <c r="Z207" s="159">
        <f>EOMONTH(data[[#This Row],[Order Date]],0)</f>
        <v>43100</v>
      </c>
      <c r="AA207" s="159" t="str">
        <f>LEFT(data[[#This Row],[Customer Name]],3)</f>
        <v>Lau</v>
      </c>
    </row>
    <row r="208" spans="1:27"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IF(data[[#This Row],[Sales]]&gt;500,"High","Low")</f>
        <v>Low</v>
      </c>
      <c r="W208" s="111">
        <f t="shared" ca="1" si="6"/>
        <v>46152.63727835648</v>
      </c>
      <c r="X208">
        <f>DATEDIF(data[[#This Row],[Order Date]], data[[#This Row],[Ship Date]], "d")</f>
        <v>6</v>
      </c>
      <c r="Y208">
        <f t="shared" ca="1" si="7"/>
        <v>2026</v>
      </c>
      <c r="Z208" s="159">
        <f>EOMONTH(data[[#This Row],[Order Date]],0)</f>
        <v>43100</v>
      </c>
      <c r="AA208" s="159" t="str">
        <f>LEFT(data[[#This Row],[Customer Name]],3)</f>
        <v>Jos</v>
      </c>
    </row>
    <row r="209" spans="1:27"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IF(data[[#This Row],[Sales]]&gt;500,"High","Low")</f>
        <v>Low</v>
      </c>
      <c r="W209" s="111">
        <f t="shared" ca="1" si="6"/>
        <v>46152.63727835648</v>
      </c>
      <c r="X209">
        <f>DATEDIF(data[[#This Row],[Order Date]], data[[#This Row],[Ship Date]], "d")</f>
        <v>6</v>
      </c>
      <c r="Y209">
        <f t="shared" ca="1" si="7"/>
        <v>2026</v>
      </c>
      <c r="Z209" s="159">
        <f>EOMONTH(data[[#This Row],[Order Date]],0)</f>
        <v>43100</v>
      </c>
      <c r="AA209" s="159" t="str">
        <f>LEFT(data[[#This Row],[Customer Name]],3)</f>
        <v>Jos</v>
      </c>
    </row>
    <row r="210" spans="1:27"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IF(data[[#This Row],[Sales]]&gt;500,"High","Low")</f>
        <v>Low</v>
      </c>
      <c r="W210" s="111">
        <f t="shared" ca="1" si="6"/>
        <v>46152.63727835648</v>
      </c>
      <c r="X210">
        <f>DATEDIF(data[[#This Row],[Order Date]], data[[#This Row],[Ship Date]], "d")</f>
        <v>6</v>
      </c>
      <c r="Y210">
        <f t="shared" ca="1" si="7"/>
        <v>2026</v>
      </c>
      <c r="Z210" s="159">
        <f>EOMONTH(data[[#This Row],[Order Date]],0)</f>
        <v>43100</v>
      </c>
      <c r="AA210" s="159" t="str">
        <f>LEFT(data[[#This Row],[Customer Name]],3)</f>
        <v>Jos</v>
      </c>
    </row>
    <row r="211" spans="1:27"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IF(data[[#This Row],[Sales]]&gt;500,"High","Low")</f>
        <v>Low</v>
      </c>
      <c r="W211" s="111">
        <f t="shared" ca="1" si="6"/>
        <v>46152.63727835648</v>
      </c>
      <c r="X211">
        <f>DATEDIF(data[[#This Row],[Order Date]], data[[#This Row],[Ship Date]], "d")</f>
        <v>6</v>
      </c>
      <c r="Y211">
        <f t="shared" ca="1" si="7"/>
        <v>2026</v>
      </c>
      <c r="Z211" s="159">
        <f>EOMONTH(data[[#This Row],[Order Date]],0)</f>
        <v>43100</v>
      </c>
      <c r="AA211" s="159" t="str">
        <f>LEFT(data[[#This Row],[Customer Name]],3)</f>
        <v>Jos</v>
      </c>
    </row>
    <row r="212" spans="1:27"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IF(data[[#This Row],[Sales]]&gt;500,"High","Low")</f>
        <v>Low</v>
      </c>
      <c r="W212" s="111">
        <f t="shared" ca="1" si="6"/>
        <v>46152.63727835648</v>
      </c>
      <c r="X212">
        <f>DATEDIF(data[[#This Row],[Order Date]], data[[#This Row],[Ship Date]], "d")</f>
        <v>6</v>
      </c>
      <c r="Y212">
        <f t="shared" ca="1" si="7"/>
        <v>2026</v>
      </c>
      <c r="Z212" s="159">
        <f>EOMONTH(data[[#This Row],[Order Date]],0)</f>
        <v>43100</v>
      </c>
      <c r="AA212" s="159" t="str">
        <f>LEFT(data[[#This Row],[Customer Name]],3)</f>
        <v>Jos</v>
      </c>
    </row>
    <row r="213" spans="1:27"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IF(data[[#This Row],[Sales]]&gt;500,"High","Low")</f>
        <v>Low</v>
      </c>
      <c r="W213" s="111">
        <f t="shared" ca="1" si="6"/>
        <v>46152.63727835648</v>
      </c>
      <c r="X213">
        <f>DATEDIF(data[[#This Row],[Order Date]], data[[#This Row],[Ship Date]], "d")</f>
        <v>4</v>
      </c>
      <c r="Y213">
        <f t="shared" ca="1" si="7"/>
        <v>2026</v>
      </c>
      <c r="Z213" s="159">
        <f>EOMONTH(data[[#This Row],[Order Date]],0)</f>
        <v>42063</v>
      </c>
      <c r="AA213" s="159" t="str">
        <f>LEFT(data[[#This Row],[Customer Name]],3)</f>
        <v>Mic</v>
      </c>
    </row>
    <row r="214" spans="1:27"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IF(data[[#This Row],[Sales]]&gt;500,"High","Low")</f>
        <v>Low</v>
      </c>
      <c r="W214" s="111">
        <f t="shared" ca="1" si="6"/>
        <v>46152.63727835648</v>
      </c>
      <c r="X214">
        <f>DATEDIF(data[[#This Row],[Order Date]], data[[#This Row],[Ship Date]], "d")</f>
        <v>7</v>
      </c>
      <c r="Y214">
        <f t="shared" ca="1" si="7"/>
        <v>2026</v>
      </c>
      <c r="Z214" s="159">
        <f>EOMONTH(data[[#This Row],[Order Date]],0)</f>
        <v>42035</v>
      </c>
      <c r="AA214" s="159" t="str">
        <f>LEFT(data[[#This Row],[Customer Name]],3)</f>
        <v>Vic</v>
      </c>
    </row>
    <row r="215" spans="1:27"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IF(data[[#This Row],[Sales]]&gt;500,"High","Low")</f>
        <v>Low</v>
      </c>
      <c r="W215" s="111">
        <f t="shared" ca="1" si="6"/>
        <v>46152.63727835648</v>
      </c>
      <c r="X215">
        <f>DATEDIF(data[[#This Row],[Order Date]], data[[#This Row],[Ship Date]], "d")</f>
        <v>7</v>
      </c>
      <c r="Y215">
        <f t="shared" ca="1" si="7"/>
        <v>2026</v>
      </c>
      <c r="Z215" s="159">
        <f>EOMONTH(data[[#This Row],[Order Date]],0)</f>
        <v>42035</v>
      </c>
      <c r="AA215" s="159" t="str">
        <f>LEFT(data[[#This Row],[Customer Name]],3)</f>
        <v>Vic</v>
      </c>
    </row>
    <row r="216" spans="1:27"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IF(data[[#This Row],[Sales]]&gt;500,"High","Low")</f>
        <v>Low</v>
      </c>
      <c r="W216" s="111">
        <f t="shared" ca="1" si="6"/>
        <v>46152.63727835648</v>
      </c>
      <c r="X216">
        <f>DATEDIF(data[[#This Row],[Order Date]], data[[#This Row],[Ship Date]], "d")</f>
        <v>7</v>
      </c>
      <c r="Y216">
        <f t="shared" ca="1" si="7"/>
        <v>2026</v>
      </c>
      <c r="Z216" s="159">
        <f>EOMONTH(data[[#This Row],[Order Date]],0)</f>
        <v>42035</v>
      </c>
      <c r="AA216" s="159" t="str">
        <f>LEFT(data[[#This Row],[Customer Name]],3)</f>
        <v>Vic</v>
      </c>
    </row>
    <row r="217" spans="1:27"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IF(data[[#This Row],[Sales]]&gt;500,"High","Low")</f>
        <v>High</v>
      </c>
      <c r="W217" s="111">
        <f t="shared" ca="1" si="6"/>
        <v>46152.63727835648</v>
      </c>
      <c r="X217">
        <f>DATEDIF(data[[#This Row],[Order Date]], data[[#This Row],[Ship Date]], "d")</f>
        <v>7</v>
      </c>
      <c r="Y217">
        <f t="shared" ca="1" si="7"/>
        <v>2026</v>
      </c>
      <c r="Z217" s="159">
        <f>EOMONTH(data[[#This Row],[Order Date]],0)</f>
        <v>42035</v>
      </c>
      <c r="AA217" s="159" t="str">
        <f>LEFT(data[[#This Row],[Customer Name]],3)</f>
        <v>Vic</v>
      </c>
    </row>
    <row r="218" spans="1:27"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IF(data[[#This Row],[Sales]]&gt;500,"High","Low")</f>
        <v>Low</v>
      </c>
      <c r="W218" s="111">
        <f t="shared" ca="1" si="6"/>
        <v>46152.63727835648</v>
      </c>
      <c r="X218">
        <f>DATEDIF(data[[#This Row],[Order Date]], data[[#This Row],[Ship Date]], "d")</f>
        <v>7</v>
      </c>
      <c r="Y218">
        <f t="shared" ca="1" si="7"/>
        <v>2026</v>
      </c>
      <c r="Z218" s="159">
        <f>EOMONTH(data[[#This Row],[Order Date]],0)</f>
        <v>42035</v>
      </c>
      <c r="AA218" s="159" t="str">
        <f>LEFT(data[[#This Row],[Customer Name]],3)</f>
        <v>Vic</v>
      </c>
    </row>
    <row r="219" spans="1:27"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IF(data[[#This Row],[Sales]]&gt;500,"High","Low")</f>
        <v>Low</v>
      </c>
      <c r="W219" s="111">
        <f t="shared" ca="1" si="6"/>
        <v>46152.63727835648</v>
      </c>
      <c r="X219">
        <f>DATEDIF(data[[#This Row],[Order Date]], data[[#This Row],[Ship Date]], "d")</f>
        <v>4</v>
      </c>
      <c r="Y219">
        <f t="shared" ca="1" si="7"/>
        <v>2026</v>
      </c>
      <c r="Z219" s="159">
        <f>EOMONTH(data[[#This Row],[Order Date]],0)</f>
        <v>42674</v>
      </c>
      <c r="AA219" s="159" t="str">
        <f>LEFT(data[[#This Row],[Customer Name]],3)</f>
        <v>Jon</v>
      </c>
    </row>
    <row r="220" spans="1:27"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IF(data[[#This Row],[Sales]]&gt;500,"High","Low")</f>
        <v>Low</v>
      </c>
      <c r="W220" s="111">
        <f t="shared" ca="1" si="6"/>
        <v>46152.63727835648</v>
      </c>
      <c r="X220">
        <f>DATEDIF(data[[#This Row],[Order Date]], data[[#This Row],[Ship Date]], "d")</f>
        <v>4</v>
      </c>
      <c r="Y220">
        <f t="shared" ca="1" si="7"/>
        <v>2026</v>
      </c>
      <c r="Z220" s="159">
        <f>EOMONTH(data[[#This Row],[Order Date]],0)</f>
        <v>42674</v>
      </c>
      <c r="AA220" s="159" t="str">
        <f>LEFT(data[[#This Row],[Customer Name]],3)</f>
        <v>Jon</v>
      </c>
    </row>
    <row r="221" spans="1:27"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IF(data[[#This Row],[Sales]]&gt;500,"High","Low")</f>
        <v>Low</v>
      </c>
      <c r="W221" s="111">
        <f t="shared" ca="1" si="6"/>
        <v>46152.63727835648</v>
      </c>
      <c r="X221">
        <f>DATEDIF(data[[#This Row],[Order Date]], data[[#This Row],[Ship Date]], "d")</f>
        <v>3</v>
      </c>
      <c r="Y221">
        <f t="shared" ca="1" si="7"/>
        <v>2026</v>
      </c>
      <c r="Z221" s="159">
        <f>EOMONTH(data[[#This Row],[Order Date]],0)</f>
        <v>42369</v>
      </c>
      <c r="AA221" s="159" t="str">
        <f>LEFT(data[[#This Row],[Customer Name]],3)</f>
        <v>Jon</v>
      </c>
    </row>
    <row r="222" spans="1:27"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IF(data[[#This Row],[Sales]]&gt;500,"High","Low")</f>
        <v>Low</v>
      </c>
      <c r="W222" s="111">
        <f t="shared" ca="1" si="6"/>
        <v>46152.63727835648</v>
      </c>
      <c r="X222">
        <f>DATEDIF(data[[#This Row],[Order Date]], data[[#This Row],[Ship Date]], "d")</f>
        <v>3</v>
      </c>
      <c r="Y222">
        <f t="shared" ca="1" si="7"/>
        <v>2026</v>
      </c>
      <c r="Z222" s="159">
        <f>EOMONTH(data[[#This Row],[Order Date]],0)</f>
        <v>42369</v>
      </c>
      <c r="AA222" s="159" t="str">
        <f>LEFT(data[[#This Row],[Customer Name]],3)</f>
        <v>Jon</v>
      </c>
    </row>
    <row r="223" spans="1:27"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IF(data[[#This Row],[Sales]]&gt;500,"High","Low")</f>
        <v>Low</v>
      </c>
      <c r="W223" s="111">
        <f t="shared" ca="1" si="6"/>
        <v>46152.63727835648</v>
      </c>
      <c r="X223">
        <f>DATEDIF(data[[#This Row],[Order Date]], data[[#This Row],[Ship Date]], "d")</f>
        <v>3</v>
      </c>
      <c r="Y223">
        <f t="shared" ca="1" si="7"/>
        <v>2026</v>
      </c>
      <c r="Z223" s="159">
        <f>EOMONTH(data[[#This Row],[Order Date]],0)</f>
        <v>42369</v>
      </c>
      <c r="AA223" s="159" t="str">
        <f>LEFT(data[[#This Row],[Customer Name]],3)</f>
        <v>Jon</v>
      </c>
    </row>
    <row r="224" spans="1:27"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IF(data[[#This Row],[Sales]]&gt;500,"High","Low")</f>
        <v>Low</v>
      </c>
      <c r="W224" s="111">
        <f t="shared" ca="1" si="6"/>
        <v>46152.63727835648</v>
      </c>
      <c r="X224">
        <f>DATEDIF(data[[#This Row],[Order Date]], data[[#This Row],[Ship Date]], "d")</f>
        <v>3</v>
      </c>
      <c r="Y224">
        <f t="shared" ca="1" si="7"/>
        <v>2026</v>
      </c>
      <c r="Z224" s="159">
        <f>EOMONTH(data[[#This Row],[Order Date]],0)</f>
        <v>42369</v>
      </c>
      <c r="AA224" s="159" t="str">
        <f>LEFT(data[[#This Row],[Customer Name]],3)</f>
        <v>Jon</v>
      </c>
    </row>
    <row r="225" spans="1:27"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IF(data[[#This Row],[Sales]]&gt;500,"High","Low")</f>
        <v>Low</v>
      </c>
      <c r="W225" s="111">
        <f t="shared" ca="1" si="6"/>
        <v>46152.63727835648</v>
      </c>
      <c r="X225">
        <f>DATEDIF(data[[#This Row],[Order Date]], data[[#This Row],[Ship Date]], "d")</f>
        <v>3</v>
      </c>
      <c r="Y225">
        <f t="shared" ca="1" si="7"/>
        <v>2026</v>
      </c>
      <c r="Z225" s="159">
        <f>EOMONTH(data[[#This Row],[Order Date]],0)</f>
        <v>42369</v>
      </c>
      <c r="AA225" s="159" t="str">
        <f>LEFT(data[[#This Row],[Customer Name]],3)</f>
        <v>Jon</v>
      </c>
    </row>
    <row r="226" spans="1:27"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IF(data[[#This Row],[Sales]]&gt;500,"High","Low")</f>
        <v>Low</v>
      </c>
      <c r="W226" s="111">
        <f t="shared" ca="1" si="6"/>
        <v>46152.63727835648</v>
      </c>
      <c r="X226">
        <f>DATEDIF(data[[#This Row],[Order Date]], data[[#This Row],[Ship Date]], "d")</f>
        <v>3</v>
      </c>
      <c r="Y226">
        <f t="shared" ca="1" si="7"/>
        <v>2026</v>
      </c>
      <c r="Z226" s="159">
        <f>EOMONTH(data[[#This Row],[Order Date]],0)</f>
        <v>42369</v>
      </c>
      <c r="AA226" s="159" t="str">
        <f>LEFT(data[[#This Row],[Customer Name]],3)</f>
        <v>Jon</v>
      </c>
    </row>
    <row r="227" spans="1:27"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IF(data[[#This Row],[Sales]]&gt;500,"High","Low")</f>
        <v>Low</v>
      </c>
      <c r="W227" s="111">
        <f t="shared" ca="1" si="6"/>
        <v>46152.63727835648</v>
      </c>
      <c r="X227">
        <f>DATEDIF(data[[#This Row],[Order Date]], data[[#This Row],[Ship Date]], "d")</f>
        <v>7</v>
      </c>
      <c r="Y227">
        <f t="shared" ca="1" si="7"/>
        <v>2026</v>
      </c>
      <c r="Z227" s="159">
        <f>EOMONTH(data[[#This Row],[Order Date]],0)</f>
        <v>42247</v>
      </c>
      <c r="AA227" s="159" t="str">
        <f>LEFT(data[[#This Row],[Customer Name]],3)</f>
        <v>Dav</v>
      </c>
    </row>
    <row r="228" spans="1:27"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IF(data[[#This Row],[Sales]]&gt;500,"High","Low")</f>
        <v>High</v>
      </c>
      <c r="W228" s="111">
        <f t="shared" ca="1" si="6"/>
        <v>46152.63727835648</v>
      </c>
      <c r="X228">
        <f>DATEDIF(data[[#This Row],[Order Date]], data[[#This Row],[Ship Date]], "d")</f>
        <v>7</v>
      </c>
      <c r="Y228">
        <f t="shared" ca="1" si="7"/>
        <v>2026</v>
      </c>
      <c r="Z228" s="159">
        <f>EOMONTH(data[[#This Row],[Order Date]],0)</f>
        <v>42247</v>
      </c>
      <c r="AA228" s="159" t="str">
        <f>LEFT(data[[#This Row],[Customer Name]],3)</f>
        <v>Dav</v>
      </c>
    </row>
    <row r="229" spans="1:27"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IF(data[[#This Row],[Sales]]&gt;500,"High","Low")</f>
        <v>Low</v>
      </c>
      <c r="W229" s="111">
        <f t="shared" ca="1" si="6"/>
        <v>46152.63727835648</v>
      </c>
      <c r="X229">
        <f>DATEDIF(data[[#This Row],[Order Date]], data[[#This Row],[Ship Date]], "d")</f>
        <v>7</v>
      </c>
      <c r="Y229">
        <f t="shared" ca="1" si="7"/>
        <v>2026</v>
      </c>
      <c r="Z229" s="159">
        <f>EOMONTH(data[[#This Row],[Order Date]],0)</f>
        <v>42247</v>
      </c>
      <c r="AA229" s="159" t="str">
        <f>LEFT(data[[#This Row],[Customer Name]],3)</f>
        <v>Dav</v>
      </c>
    </row>
    <row r="230" spans="1:27"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IF(data[[#This Row],[Sales]]&gt;500,"High","Low")</f>
        <v>Low</v>
      </c>
      <c r="W230" s="111">
        <f t="shared" ca="1" si="6"/>
        <v>46152.63727835648</v>
      </c>
      <c r="X230">
        <f>DATEDIF(data[[#This Row],[Order Date]], data[[#This Row],[Ship Date]], "d")</f>
        <v>4</v>
      </c>
      <c r="Y230">
        <f t="shared" ca="1" si="7"/>
        <v>2026</v>
      </c>
      <c r="Z230" s="159">
        <f>EOMONTH(data[[#This Row],[Order Date]],0)</f>
        <v>42063</v>
      </c>
      <c r="AA230" s="159" t="str">
        <f>LEFT(data[[#This Row],[Customer Name]],3)</f>
        <v>Val</v>
      </c>
    </row>
    <row r="231" spans="1:27"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IF(data[[#This Row],[Sales]]&gt;500,"High","Low")</f>
        <v>Low</v>
      </c>
      <c r="W231" s="111">
        <f t="shared" ca="1" si="6"/>
        <v>46152.63727835648</v>
      </c>
      <c r="X231">
        <f>DATEDIF(data[[#This Row],[Order Date]], data[[#This Row],[Ship Date]], "d")</f>
        <v>4</v>
      </c>
      <c r="Y231">
        <f t="shared" ca="1" si="7"/>
        <v>2026</v>
      </c>
      <c r="Z231" s="159">
        <f>EOMONTH(data[[#This Row],[Order Date]],0)</f>
        <v>42063</v>
      </c>
      <c r="AA231" s="159" t="str">
        <f>LEFT(data[[#This Row],[Customer Name]],3)</f>
        <v>Val</v>
      </c>
    </row>
    <row r="232" spans="1:27"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IF(data[[#This Row],[Sales]]&gt;500,"High","Low")</f>
        <v>Low</v>
      </c>
      <c r="W232" s="111">
        <f t="shared" ca="1" si="6"/>
        <v>46152.63727835648</v>
      </c>
      <c r="X232">
        <f>DATEDIF(data[[#This Row],[Order Date]], data[[#This Row],[Ship Date]], "d")</f>
        <v>4</v>
      </c>
      <c r="Y232">
        <f t="shared" ca="1" si="7"/>
        <v>2026</v>
      </c>
      <c r="Z232" s="159">
        <f>EOMONTH(data[[#This Row],[Order Date]],0)</f>
        <v>41912</v>
      </c>
      <c r="AA232" s="159" t="str">
        <f>LEFT(data[[#This Row],[Customer Name]],3)</f>
        <v>Eri</v>
      </c>
    </row>
    <row r="233" spans="1:27"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IF(data[[#This Row],[Sales]]&gt;500,"High","Low")</f>
        <v>Low</v>
      </c>
      <c r="W233" s="111">
        <f t="shared" ca="1" si="6"/>
        <v>46152.63727835648</v>
      </c>
      <c r="X233">
        <f>DATEDIF(data[[#This Row],[Order Date]], data[[#This Row],[Ship Date]], "d")</f>
        <v>5</v>
      </c>
      <c r="Y233">
        <f t="shared" ca="1" si="7"/>
        <v>2026</v>
      </c>
      <c r="Z233" s="159">
        <f>EOMONTH(data[[#This Row],[Order Date]],0)</f>
        <v>42855</v>
      </c>
      <c r="AA233" s="159" t="str">
        <f>LEFT(data[[#This Row],[Customer Name]],3)</f>
        <v>Chr</v>
      </c>
    </row>
    <row r="234" spans="1:27"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IF(data[[#This Row],[Sales]]&gt;500,"High","Low")</f>
        <v>High</v>
      </c>
      <c r="W234" s="111">
        <f t="shared" ca="1" si="6"/>
        <v>46152.63727835648</v>
      </c>
      <c r="X234">
        <f>DATEDIF(data[[#This Row],[Order Date]], data[[#This Row],[Ship Date]], "d")</f>
        <v>5</v>
      </c>
      <c r="Y234">
        <f t="shared" ca="1" si="7"/>
        <v>2026</v>
      </c>
      <c r="Z234" s="159">
        <f>EOMONTH(data[[#This Row],[Order Date]],0)</f>
        <v>42855</v>
      </c>
      <c r="AA234" s="159" t="str">
        <f>LEFT(data[[#This Row],[Customer Name]],3)</f>
        <v>Chr</v>
      </c>
    </row>
    <row r="235" spans="1:27"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IF(data[[#This Row],[Sales]]&gt;500,"High","Low")</f>
        <v>Low</v>
      </c>
      <c r="W235" s="111">
        <f t="shared" ca="1" si="6"/>
        <v>46152.63727835648</v>
      </c>
      <c r="X235">
        <f>DATEDIF(data[[#This Row],[Order Date]], data[[#This Row],[Ship Date]], "d")</f>
        <v>5</v>
      </c>
      <c r="Y235">
        <f t="shared" ca="1" si="7"/>
        <v>2026</v>
      </c>
      <c r="Z235" s="159">
        <f>EOMONTH(data[[#This Row],[Order Date]],0)</f>
        <v>42855</v>
      </c>
      <c r="AA235" s="159" t="str">
        <f>LEFT(data[[#This Row],[Customer Name]],3)</f>
        <v>Chr</v>
      </c>
    </row>
    <row r="236" spans="1:27"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IF(data[[#This Row],[Sales]]&gt;500,"High","Low")</f>
        <v>Low</v>
      </c>
      <c r="W236" s="111">
        <f t="shared" ca="1" si="6"/>
        <v>46152.63727835648</v>
      </c>
      <c r="X236">
        <f>DATEDIF(data[[#This Row],[Order Date]], data[[#This Row],[Ship Date]], "d")</f>
        <v>5</v>
      </c>
      <c r="Y236">
        <f t="shared" ca="1" si="7"/>
        <v>2026</v>
      </c>
      <c r="Z236" s="159">
        <f>EOMONTH(data[[#This Row],[Order Date]],0)</f>
        <v>42855</v>
      </c>
      <c r="AA236" s="159" t="str">
        <f>LEFT(data[[#This Row],[Customer Name]],3)</f>
        <v>Chr</v>
      </c>
    </row>
    <row r="237" spans="1:27"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IF(data[[#This Row],[Sales]]&gt;500,"High","Low")</f>
        <v>High</v>
      </c>
      <c r="W237" s="111">
        <f t="shared" ca="1" si="6"/>
        <v>46152.63727835648</v>
      </c>
      <c r="X237">
        <f>DATEDIF(data[[#This Row],[Order Date]], data[[#This Row],[Ship Date]], "d")</f>
        <v>5</v>
      </c>
      <c r="Y237">
        <f t="shared" ca="1" si="7"/>
        <v>2026</v>
      </c>
      <c r="Z237" s="159">
        <f>EOMONTH(data[[#This Row],[Order Date]],0)</f>
        <v>42855</v>
      </c>
      <c r="AA237" s="159" t="str">
        <f>LEFT(data[[#This Row],[Customer Name]],3)</f>
        <v>Chr</v>
      </c>
    </row>
    <row r="238" spans="1:27"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IF(data[[#This Row],[Sales]]&gt;500,"High","Low")</f>
        <v>Low</v>
      </c>
      <c r="W238" s="111">
        <f t="shared" ca="1" si="6"/>
        <v>46152.63727835648</v>
      </c>
      <c r="X238">
        <f>DATEDIF(data[[#This Row],[Order Date]], data[[#This Row],[Ship Date]], "d")</f>
        <v>4</v>
      </c>
      <c r="Y238">
        <f t="shared" ca="1" si="7"/>
        <v>2026</v>
      </c>
      <c r="Z238" s="159">
        <f>EOMONTH(data[[#This Row],[Order Date]],0)</f>
        <v>43069</v>
      </c>
      <c r="AA238" s="159" t="str">
        <f>LEFT(data[[#This Row],[Customer Name]],3)</f>
        <v>Dav</v>
      </c>
    </row>
    <row r="239" spans="1:27"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IF(data[[#This Row],[Sales]]&gt;500,"High","Low")</f>
        <v>Low</v>
      </c>
      <c r="W239" s="111">
        <f t="shared" ca="1" si="6"/>
        <v>46152.63727835648</v>
      </c>
      <c r="X239">
        <f>DATEDIF(data[[#This Row],[Order Date]], data[[#This Row],[Ship Date]], "d")</f>
        <v>5</v>
      </c>
      <c r="Y239">
        <f t="shared" ca="1" si="7"/>
        <v>2026</v>
      </c>
      <c r="Z239" s="159">
        <f>EOMONTH(data[[#This Row],[Order Date]],0)</f>
        <v>42551</v>
      </c>
      <c r="AA239" s="159" t="str">
        <f>LEFT(data[[#This Row],[Customer Name]],3)</f>
        <v>Ken</v>
      </c>
    </row>
    <row r="240" spans="1:27"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IF(data[[#This Row],[Sales]]&gt;500,"High","Low")</f>
        <v>Low</v>
      </c>
      <c r="W240" s="111">
        <f t="shared" ca="1" si="6"/>
        <v>46152.63727835648</v>
      </c>
      <c r="X240">
        <f>DATEDIF(data[[#This Row],[Order Date]], data[[#This Row],[Ship Date]], "d")</f>
        <v>5</v>
      </c>
      <c r="Y240">
        <f t="shared" ca="1" si="7"/>
        <v>2026</v>
      </c>
      <c r="Z240" s="159">
        <f>EOMONTH(data[[#This Row],[Order Date]],0)</f>
        <v>42551</v>
      </c>
      <c r="AA240" s="159" t="str">
        <f>LEFT(data[[#This Row],[Customer Name]],3)</f>
        <v>Ken</v>
      </c>
    </row>
    <row r="241" spans="1:27"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IF(data[[#This Row],[Sales]]&gt;500,"High","Low")</f>
        <v>Low</v>
      </c>
      <c r="W241" s="111">
        <f t="shared" ca="1" si="6"/>
        <v>46152.63727835648</v>
      </c>
      <c r="X241">
        <f>DATEDIF(data[[#This Row],[Order Date]], data[[#This Row],[Ship Date]], "d")</f>
        <v>5</v>
      </c>
      <c r="Y241">
        <f t="shared" ca="1" si="7"/>
        <v>2026</v>
      </c>
      <c r="Z241" s="159">
        <f>EOMONTH(data[[#This Row],[Order Date]],0)</f>
        <v>42551</v>
      </c>
      <c r="AA241" s="159" t="str">
        <f>LEFT(data[[#This Row],[Customer Name]],3)</f>
        <v>Ken</v>
      </c>
    </row>
    <row r="242" spans="1:27"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IF(data[[#This Row],[Sales]]&gt;500,"High","Low")</f>
        <v>Low</v>
      </c>
      <c r="W242" s="111">
        <f t="shared" ca="1" si="6"/>
        <v>46152.63727835648</v>
      </c>
      <c r="X242">
        <f>DATEDIF(data[[#This Row],[Order Date]], data[[#This Row],[Ship Date]], "d")</f>
        <v>5</v>
      </c>
      <c r="Y242">
        <f t="shared" ca="1" si="7"/>
        <v>2026</v>
      </c>
      <c r="Z242" s="159">
        <f>EOMONTH(data[[#This Row],[Order Date]],0)</f>
        <v>42551</v>
      </c>
      <c r="AA242" s="159" t="str">
        <f>LEFT(data[[#This Row],[Customer Name]],3)</f>
        <v>Ken</v>
      </c>
    </row>
    <row r="243" spans="1:27"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IF(data[[#This Row],[Sales]]&gt;500,"High","Low")</f>
        <v>Low</v>
      </c>
      <c r="W243" s="111">
        <f t="shared" ca="1" si="6"/>
        <v>46152.63727835648</v>
      </c>
      <c r="X243">
        <f>DATEDIF(data[[#This Row],[Order Date]], data[[#This Row],[Ship Date]], "d")</f>
        <v>5</v>
      </c>
      <c r="Y243">
        <f t="shared" ca="1" si="7"/>
        <v>2026</v>
      </c>
      <c r="Z243" s="159">
        <f>EOMONTH(data[[#This Row],[Order Date]],0)</f>
        <v>42551</v>
      </c>
      <c r="AA243" s="159" t="str">
        <f>LEFT(data[[#This Row],[Customer Name]],3)</f>
        <v>Ken</v>
      </c>
    </row>
    <row r="244" spans="1:27"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IF(data[[#This Row],[Sales]]&gt;500,"High","Low")</f>
        <v>Low</v>
      </c>
      <c r="W244" s="111">
        <f t="shared" ca="1" si="6"/>
        <v>46152.63727835648</v>
      </c>
      <c r="X244">
        <f>DATEDIF(data[[#This Row],[Order Date]], data[[#This Row],[Ship Date]], "d")</f>
        <v>5</v>
      </c>
      <c r="Y244">
        <f t="shared" ca="1" si="7"/>
        <v>2026</v>
      </c>
      <c r="Z244" s="159">
        <f>EOMONTH(data[[#This Row],[Order Date]],0)</f>
        <v>42551</v>
      </c>
      <c r="AA244" s="159" t="str">
        <f>LEFT(data[[#This Row],[Customer Name]],3)</f>
        <v>Ken</v>
      </c>
    </row>
    <row r="245" spans="1:27"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IF(data[[#This Row],[Sales]]&gt;500,"High","Low")</f>
        <v>Low</v>
      </c>
      <c r="W245" s="111">
        <f t="shared" ca="1" si="6"/>
        <v>46152.63727835648</v>
      </c>
      <c r="X245">
        <f>DATEDIF(data[[#This Row],[Order Date]], data[[#This Row],[Ship Date]], "d")</f>
        <v>5</v>
      </c>
      <c r="Y245">
        <f t="shared" ca="1" si="7"/>
        <v>2026</v>
      </c>
      <c r="Z245" s="159">
        <f>EOMONTH(data[[#This Row],[Order Date]],0)</f>
        <v>42551</v>
      </c>
      <c r="AA245" s="159" t="str">
        <f>LEFT(data[[#This Row],[Customer Name]],3)</f>
        <v>Ken</v>
      </c>
    </row>
    <row r="246" spans="1:27"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IF(data[[#This Row],[Sales]]&gt;500,"High","Low")</f>
        <v>High</v>
      </c>
      <c r="W246" s="111">
        <f t="shared" ca="1" si="6"/>
        <v>46152.63727835648</v>
      </c>
      <c r="X246">
        <f>DATEDIF(data[[#This Row],[Order Date]], data[[#This Row],[Ship Date]], "d")</f>
        <v>5</v>
      </c>
      <c r="Y246">
        <f t="shared" ca="1" si="7"/>
        <v>2026</v>
      </c>
      <c r="Z246" s="159">
        <f>EOMONTH(data[[#This Row],[Order Date]],0)</f>
        <v>41820</v>
      </c>
      <c r="AA246" s="159" t="str">
        <f>LEFT(data[[#This Row],[Customer Name]],3)</f>
        <v>Dia</v>
      </c>
    </row>
    <row r="247" spans="1:27"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IF(data[[#This Row],[Sales]]&gt;500,"High","Low")</f>
        <v>Low</v>
      </c>
      <c r="W247" s="111">
        <f t="shared" ca="1" si="6"/>
        <v>46152.63727835648</v>
      </c>
      <c r="X247">
        <f>DATEDIF(data[[#This Row],[Order Date]], data[[#This Row],[Ship Date]], "d")</f>
        <v>5</v>
      </c>
      <c r="Y247">
        <f t="shared" ca="1" si="7"/>
        <v>2026</v>
      </c>
      <c r="Z247" s="159">
        <f>EOMONTH(data[[#This Row],[Order Date]],0)</f>
        <v>41820</v>
      </c>
      <c r="AA247" s="159" t="str">
        <f>LEFT(data[[#This Row],[Customer Name]],3)</f>
        <v>Dia</v>
      </c>
    </row>
    <row r="248" spans="1:27"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IF(data[[#This Row],[Sales]]&gt;500,"High","Low")</f>
        <v>Low</v>
      </c>
      <c r="W248" s="111">
        <f t="shared" ca="1" si="6"/>
        <v>46152.63727835648</v>
      </c>
      <c r="X248">
        <f>DATEDIF(data[[#This Row],[Order Date]], data[[#This Row],[Ship Date]], "d")</f>
        <v>5</v>
      </c>
      <c r="Y248">
        <f t="shared" ca="1" si="7"/>
        <v>2026</v>
      </c>
      <c r="Z248" s="159">
        <f>EOMONTH(data[[#This Row],[Order Date]],0)</f>
        <v>41820</v>
      </c>
      <c r="AA248" s="159" t="str">
        <f>LEFT(data[[#This Row],[Customer Name]],3)</f>
        <v>Dia</v>
      </c>
    </row>
    <row r="249" spans="1:27"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IF(data[[#This Row],[Sales]]&gt;500,"High","Low")</f>
        <v>High</v>
      </c>
      <c r="W249" s="111">
        <f t="shared" ca="1" si="6"/>
        <v>46152.63727835648</v>
      </c>
      <c r="X249">
        <f>DATEDIF(data[[#This Row],[Order Date]], data[[#This Row],[Ship Date]], "d")</f>
        <v>5</v>
      </c>
      <c r="Y249">
        <f t="shared" ca="1" si="7"/>
        <v>2026</v>
      </c>
      <c r="Z249" s="159">
        <f>EOMONTH(data[[#This Row],[Order Date]],0)</f>
        <v>41820</v>
      </c>
      <c r="AA249" s="159" t="str">
        <f>LEFT(data[[#This Row],[Customer Name]],3)</f>
        <v>Dia</v>
      </c>
    </row>
    <row r="250" spans="1:27"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IF(data[[#This Row],[Sales]]&gt;500,"High","Low")</f>
        <v>Low</v>
      </c>
      <c r="W250" s="111">
        <f t="shared" ca="1" si="6"/>
        <v>46152.63727835648</v>
      </c>
      <c r="X250">
        <f>DATEDIF(data[[#This Row],[Order Date]], data[[#This Row],[Ship Date]], "d")</f>
        <v>5</v>
      </c>
      <c r="Y250">
        <f t="shared" ca="1" si="7"/>
        <v>2026</v>
      </c>
      <c r="Z250" s="159">
        <f>EOMONTH(data[[#This Row],[Order Date]],0)</f>
        <v>41820</v>
      </c>
      <c r="AA250" s="159" t="str">
        <f>LEFT(data[[#This Row],[Customer Name]],3)</f>
        <v>Dia</v>
      </c>
    </row>
    <row r="251" spans="1:27"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IF(data[[#This Row],[Sales]]&gt;500,"High","Low")</f>
        <v>Low</v>
      </c>
      <c r="W251" s="111">
        <f t="shared" ca="1" si="6"/>
        <v>46152.63727835648</v>
      </c>
      <c r="X251">
        <f>DATEDIF(data[[#This Row],[Order Date]], data[[#This Row],[Ship Date]], "d")</f>
        <v>5</v>
      </c>
      <c r="Y251">
        <f t="shared" ca="1" si="7"/>
        <v>2026</v>
      </c>
      <c r="Z251" s="159">
        <f>EOMONTH(data[[#This Row],[Order Date]],0)</f>
        <v>42735</v>
      </c>
      <c r="AA251" s="159" t="str">
        <f>LEFT(data[[#This Row],[Customer Name]],3)</f>
        <v>Log</v>
      </c>
    </row>
    <row r="252" spans="1:27"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IF(data[[#This Row],[Sales]]&gt;500,"High","Low")</f>
        <v>Low</v>
      </c>
      <c r="W252" s="111">
        <f t="shared" ca="1" si="6"/>
        <v>46152.63727835648</v>
      </c>
      <c r="X252">
        <f>DATEDIF(data[[#This Row],[Order Date]], data[[#This Row],[Ship Date]], "d")</f>
        <v>6</v>
      </c>
      <c r="Y252">
        <f t="shared" ca="1" si="7"/>
        <v>2026</v>
      </c>
      <c r="Z252" s="159">
        <f>EOMONTH(data[[#This Row],[Order Date]],0)</f>
        <v>42643</v>
      </c>
      <c r="AA252" s="159" t="str">
        <f>LEFT(data[[#This Row],[Customer Name]],3)</f>
        <v>Kel</v>
      </c>
    </row>
    <row r="253" spans="1:27"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IF(data[[#This Row],[Sales]]&gt;500,"High","Low")</f>
        <v>High</v>
      </c>
      <c r="W253" s="111">
        <f t="shared" ca="1" si="6"/>
        <v>46152.63727835648</v>
      </c>
      <c r="X253">
        <f>DATEDIF(data[[#This Row],[Order Date]], data[[#This Row],[Ship Date]], "d")</f>
        <v>6</v>
      </c>
      <c r="Y253">
        <f t="shared" ca="1" si="7"/>
        <v>2026</v>
      </c>
      <c r="Z253" s="159">
        <f>EOMONTH(data[[#This Row],[Order Date]],0)</f>
        <v>42643</v>
      </c>
      <c r="AA253" s="159" t="str">
        <f>LEFT(data[[#This Row],[Customer Name]],3)</f>
        <v>Kel</v>
      </c>
    </row>
    <row r="254" spans="1:27"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IF(data[[#This Row],[Sales]]&gt;500,"High","Low")</f>
        <v>Low</v>
      </c>
      <c r="W254" s="111">
        <f t="shared" ca="1" si="6"/>
        <v>46152.63727835648</v>
      </c>
      <c r="X254">
        <f>DATEDIF(data[[#This Row],[Order Date]], data[[#This Row],[Ship Date]], "d")</f>
        <v>3</v>
      </c>
      <c r="Y254">
        <f t="shared" ca="1" si="7"/>
        <v>2026</v>
      </c>
      <c r="Z254" s="159">
        <f>EOMONTH(data[[#This Row],[Order Date]],0)</f>
        <v>42735</v>
      </c>
      <c r="AA254" s="159" t="str">
        <f>LEFT(data[[#This Row],[Customer Name]],3)</f>
        <v>Del</v>
      </c>
    </row>
    <row r="255" spans="1:27"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IF(data[[#This Row],[Sales]]&gt;500,"High","Low")</f>
        <v>Low</v>
      </c>
      <c r="W255" s="111">
        <f t="shared" ca="1" si="6"/>
        <v>46152.63727835648</v>
      </c>
      <c r="X255">
        <f>DATEDIF(data[[#This Row],[Order Date]], data[[#This Row],[Ship Date]], "d")</f>
        <v>3</v>
      </c>
      <c r="Y255">
        <f t="shared" ca="1" si="7"/>
        <v>2026</v>
      </c>
      <c r="Z255" s="159">
        <f>EOMONTH(data[[#This Row],[Order Date]],0)</f>
        <v>42735</v>
      </c>
      <c r="AA255" s="159" t="str">
        <f>LEFT(data[[#This Row],[Customer Name]],3)</f>
        <v>Del</v>
      </c>
    </row>
    <row r="256" spans="1:27"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IF(data[[#This Row],[Sales]]&gt;500,"High","Low")</f>
        <v>Low</v>
      </c>
      <c r="W256" s="111">
        <f t="shared" ca="1" si="6"/>
        <v>46152.63727835648</v>
      </c>
      <c r="X256">
        <f>DATEDIF(data[[#This Row],[Order Date]], data[[#This Row],[Ship Date]], "d")</f>
        <v>6</v>
      </c>
      <c r="Y256">
        <f t="shared" ca="1" si="7"/>
        <v>2026</v>
      </c>
      <c r="Z256" s="159">
        <f>EOMONTH(data[[#This Row],[Order Date]],0)</f>
        <v>42338</v>
      </c>
      <c r="AA256" s="159" t="str">
        <f>LEFT(data[[#This Row],[Customer Name]],3)</f>
        <v>Dan</v>
      </c>
    </row>
    <row r="257" spans="1:27"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IF(data[[#This Row],[Sales]]&gt;500,"High","Low")</f>
        <v>Low</v>
      </c>
      <c r="W257" s="111">
        <f t="shared" ca="1" si="6"/>
        <v>46152.63727835648</v>
      </c>
      <c r="X257">
        <f>DATEDIF(data[[#This Row],[Order Date]], data[[#This Row],[Ship Date]], "d")</f>
        <v>6</v>
      </c>
      <c r="Y257">
        <f t="shared" ca="1" si="7"/>
        <v>2026</v>
      </c>
      <c r="Z257" s="159">
        <f>EOMONTH(data[[#This Row],[Order Date]],0)</f>
        <v>42338</v>
      </c>
      <c r="AA257" s="159" t="str">
        <f>LEFT(data[[#This Row],[Customer Name]],3)</f>
        <v>Dan</v>
      </c>
    </row>
    <row r="258" spans="1:27"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IF(data[[#This Row],[Sales]]&gt;500,"High","Low")</f>
        <v>Low</v>
      </c>
      <c r="W258" s="111">
        <f t="shared" ref="W258:W321" ca="1" si="8">NOW()</f>
        <v>46152.63727835648</v>
      </c>
      <c r="X258">
        <f>DATEDIF(data[[#This Row],[Order Date]], data[[#This Row],[Ship Date]], "d")</f>
        <v>6</v>
      </c>
      <c r="Y258">
        <f t="shared" ref="Y258:Y321" ca="1" si="9">YEAR(TODAY())</f>
        <v>2026</v>
      </c>
      <c r="Z258" s="159">
        <f>EOMONTH(data[[#This Row],[Order Date]],0)</f>
        <v>42338</v>
      </c>
      <c r="AA258" s="159" t="str">
        <f>LEFT(data[[#This Row],[Customer Name]],3)</f>
        <v>Dan</v>
      </c>
    </row>
    <row r="259" spans="1:27"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IF(data[[#This Row],[Sales]]&gt;500,"High","Low")</f>
        <v>High</v>
      </c>
      <c r="W259" s="111">
        <f t="shared" ca="1" si="8"/>
        <v>46152.63727835648</v>
      </c>
      <c r="X259">
        <f>DATEDIF(data[[#This Row],[Order Date]], data[[#This Row],[Ship Date]], "d")</f>
        <v>6</v>
      </c>
      <c r="Y259">
        <f t="shared" ca="1" si="9"/>
        <v>2026</v>
      </c>
      <c r="Z259" s="159">
        <f>EOMONTH(data[[#This Row],[Order Date]],0)</f>
        <v>42338</v>
      </c>
      <c r="AA259" s="159" t="str">
        <f>LEFT(data[[#This Row],[Customer Name]],3)</f>
        <v>Dan</v>
      </c>
    </row>
    <row r="260" spans="1:27"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IF(data[[#This Row],[Sales]]&gt;500,"High","Low")</f>
        <v>Low</v>
      </c>
      <c r="W260" s="111">
        <f t="shared" ca="1" si="8"/>
        <v>46152.63727835648</v>
      </c>
      <c r="X260">
        <f>DATEDIF(data[[#This Row],[Order Date]], data[[#This Row],[Ship Date]], "d")</f>
        <v>2</v>
      </c>
      <c r="Y260">
        <f t="shared" ca="1" si="9"/>
        <v>2026</v>
      </c>
      <c r="Z260" s="159">
        <f>EOMONTH(data[[#This Row],[Order Date]],0)</f>
        <v>43100</v>
      </c>
      <c r="AA260" s="159" t="str">
        <f>LEFT(data[[#This Row],[Customer Name]],3)</f>
        <v>Cra</v>
      </c>
    </row>
    <row r="261" spans="1:27"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IF(data[[#This Row],[Sales]]&gt;500,"High","Low")</f>
        <v>Low</v>
      </c>
      <c r="W261" s="111">
        <f t="shared" ca="1" si="8"/>
        <v>46152.63727835648</v>
      </c>
      <c r="X261">
        <f>DATEDIF(data[[#This Row],[Order Date]], data[[#This Row],[Ship Date]], "d")</f>
        <v>2</v>
      </c>
      <c r="Y261">
        <f t="shared" ca="1" si="9"/>
        <v>2026</v>
      </c>
      <c r="Z261" s="159">
        <f>EOMONTH(data[[#This Row],[Order Date]],0)</f>
        <v>43100</v>
      </c>
      <c r="AA261" s="159" t="str">
        <f>LEFT(data[[#This Row],[Customer Name]],3)</f>
        <v>Cra</v>
      </c>
    </row>
    <row r="262" spans="1:27"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IF(data[[#This Row],[Sales]]&gt;500,"High","Low")</f>
        <v>Low</v>
      </c>
      <c r="W262" s="111">
        <f t="shared" ca="1" si="8"/>
        <v>46152.63727835648</v>
      </c>
      <c r="X262">
        <f>DATEDIF(data[[#This Row],[Order Date]], data[[#This Row],[Ship Date]], "d")</f>
        <v>2</v>
      </c>
      <c r="Y262">
        <f t="shared" ca="1" si="9"/>
        <v>2026</v>
      </c>
      <c r="Z262" s="159">
        <f>EOMONTH(data[[#This Row],[Order Date]],0)</f>
        <v>43100</v>
      </c>
      <c r="AA262" s="159" t="str">
        <f>LEFT(data[[#This Row],[Customer Name]],3)</f>
        <v>Cra</v>
      </c>
    </row>
    <row r="263" spans="1:27"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IF(data[[#This Row],[Sales]]&gt;500,"High","Low")</f>
        <v>Low</v>
      </c>
      <c r="W263" s="111">
        <f t="shared" ca="1" si="8"/>
        <v>46152.63727835648</v>
      </c>
      <c r="X263">
        <f>DATEDIF(data[[#This Row],[Order Date]], data[[#This Row],[Ship Date]], "d")</f>
        <v>4</v>
      </c>
      <c r="Y263">
        <f t="shared" ca="1" si="9"/>
        <v>2026</v>
      </c>
      <c r="Z263" s="159">
        <f>EOMONTH(data[[#This Row],[Order Date]],0)</f>
        <v>42916</v>
      </c>
      <c r="AA263" s="159" t="str">
        <f>LEFT(data[[#This Row],[Customer Name]],3)</f>
        <v>Dor</v>
      </c>
    </row>
    <row r="264" spans="1:27"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IF(data[[#This Row],[Sales]]&gt;500,"High","Low")</f>
        <v>High</v>
      </c>
      <c r="W264" s="111">
        <f t="shared" ca="1" si="8"/>
        <v>46152.63727835648</v>
      </c>
      <c r="X264">
        <f>DATEDIF(data[[#This Row],[Order Date]], data[[#This Row],[Ship Date]], "d")</f>
        <v>2</v>
      </c>
      <c r="Y264">
        <f t="shared" ca="1" si="9"/>
        <v>2026</v>
      </c>
      <c r="Z264" s="159">
        <f>EOMONTH(data[[#This Row],[Order Date]],0)</f>
        <v>41912</v>
      </c>
      <c r="AA264" s="159" t="str">
        <f>LEFT(data[[#This Row],[Customer Name]],3)</f>
        <v>Sea</v>
      </c>
    </row>
    <row r="265" spans="1:27"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IF(data[[#This Row],[Sales]]&gt;500,"High","Low")</f>
        <v>High</v>
      </c>
      <c r="W265" s="111">
        <f t="shared" ca="1" si="8"/>
        <v>46152.63727835648</v>
      </c>
      <c r="X265">
        <f>DATEDIF(data[[#This Row],[Order Date]], data[[#This Row],[Ship Date]], "d")</f>
        <v>2</v>
      </c>
      <c r="Y265">
        <f t="shared" ca="1" si="9"/>
        <v>2026</v>
      </c>
      <c r="Z265" s="159">
        <f>EOMONTH(data[[#This Row],[Order Date]],0)</f>
        <v>41912</v>
      </c>
      <c r="AA265" s="159" t="str">
        <f>LEFT(data[[#This Row],[Customer Name]],3)</f>
        <v>Sea</v>
      </c>
    </row>
    <row r="266" spans="1:27"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IF(data[[#This Row],[Sales]]&gt;500,"High","Low")</f>
        <v>Low</v>
      </c>
      <c r="W266" s="111">
        <f t="shared" ca="1" si="8"/>
        <v>46152.63727835648</v>
      </c>
      <c r="X266">
        <f>DATEDIF(data[[#This Row],[Order Date]], data[[#This Row],[Ship Date]], "d")</f>
        <v>7</v>
      </c>
      <c r="Y266">
        <f t="shared" ca="1" si="9"/>
        <v>2026</v>
      </c>
      <c r="Z266" s="159">
        <f>EOMONTH(data[[#This Row],[Order Date]],0)</f>
        <v>42551</v>
      </c>
      <c r="AA266" s="159" t="str">
        <f>LEFT(data[[#This Row],[Customer Name]],3)</f>
        <v>Roy</v>
      </c>
    </row>
    <row r="267" spans="1:27"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IF(data[[#This Row],[Sales]]&gt;500,"High","Low")</f>
        <v>Low</v>
      </c>
      <c r="W267" s="111">
        <f t="shared" ca="1" si="8"/>
        <v>46152.63727835648</v>
      </c>
      <c r="X267">
        <f>DATEDIF(data[[#This Row],[Order Date]], data[[#This Row],[Ship Date]], "d")</f>
        <v>5</v>
      </c>
      <c r="Y267">
        <f t="shared" ca="1" si="9"/>
        <v>2026</v>
      </c>
      <c r="Z267" s="159">
        <f>EOMONTH(data[[#This Row],[Order Date]],0)</f>
        <v>42338</v>
      </c>
      <c r="AA267" s="159" t="str">
        <f>LEFT(data[[#This Row],[Customer Name]],3)</f>
        <v>Ala</v>
      </c>
    </row>
    <row r="268" spans="1:27"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IF(data[[#This Row],[Sales]]&gt;500,"High","Low")</f>
        <v>Low</v>
      </c>
      <c r="W268" s="111">
        <f t="shared" ca="1" si="8"/>
        <v>46152.63727835648</v>
      </c>
      <c r="X268">
        <f>DATEDIF(data[[#This Row],[Order Date]], data[[#This Row],[Ship Date]], "d")</f>
        <v>4</v>
      </c>
      <c r="Y268">
        <f t="shared" ca="1" si="9"/>
        <v>2026</v>
      </c>
      <c r="Z268" s="159">
        <f>EOMONTH(data[[#This Row],[Order Date]],0)</f>
        <v>42916</v>
      </c>
      <c r="AA268" s="159" t="str">
        <f>LEFT(data[[#This Row],[Customer Name]],3)</f>
        <v>Cla</v>
      </c>
    </row>
    <row r="269" spans="1:27"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IF(data[[#This Row],[Sales]]&gt;500,"High","Low")</f>
        <v>Low</v>
      </c>
      <c r="W269" s="111">
        <f t="shared" ca="1" si="8"/>
        <v>46152.63727835648</v>
      </c>
      <c r="X269">
        <f>DATEDIF(data[[#This Row],[Order Date]], data[[#This Row],[Ship Date]], "d")</f>
        <v>6</v>
      </c>
      <c r="Y269">
        <f t="shared" ca="1" si="9"/>
        <v>2026</v>
      </c>
      <c r="Z269" s="159">
        <f>EOMONTH(data[[#This Row],[Order Date]],0)</f>
        <v>42400</v>
      </c>
      <c r="AA269" s="159" t="str">
        <f>LEFT(data[[#This Row],[Customer Name]],3)</f>
        <v>Pau</v>
      </c>
    </row>
    <row r="270" spans="1:27"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IF(data[[#This Row],[Sales]]&gt;500,"High","Low")</f>
        <v>Low</v>
      </c>
      <c r="W270" s="111">
        <f t="shared" ca="1" si="8"/>
        <v>46152.63727835648</v>
      </c>
      <c r="X270">
        <f>DATEDIF(data[[#This Row],[Order Date]], data[[#This Row],[Ship Date]], "d")</f>
        <v>4</v>
      </c>
      <c r="Y270">
        <f t="shared" ca="1" si="9"/>
        <v>2026</v>
      </c>
      <c r="Z270" s="159">
        <f>EOMONTH(data[[#This Row],[Order Date]],0)</f>
        <v>43100</v>
      </c>
      <c r="AA270" s="159" t="str">
        <f>LEFT(data[[#This Row],[Customer Name]],3)</f>
        <v>Chr</v>
      </c>
    </row>
    <row r="271" spans="1:27"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IF(data[[#This Row],[Sales]]&gt;500,"High","Low")</f>
        <v>Low</v>
      </c>
      <c r="W271" s="111">
        <f t="shared" ca="1" si="8"/>
        <v>46152.63727835648</v>
      </c>
      <c r="X271">
        <f>DATEDIF(data[[#This Row],[Order Date]], data[[#This Row],[Ship Date]], "d")</f>
        <v>4</v>
      </c>
      <c r="Y271">
        <f t="shared" ca="1" si="9"/>
        <v>2026</v>
      </c>
      <c r="Z271" s="159">
        <f>EOMONTH(data[[#This Row],[Order Date]],0)</f>
        <v>43100</v>
      </c>
      <c r="AA271" s="159" t="str">
        <f>LEFT(data[[#This Row],[Customer Name]],3)</f>
        <v>Chr</v>
      </c>
    </row>
    <row r="272" spans="1:27"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IF(data[[#This Row],[Sales]]&gt;500,"High","Low")</f>
        <v>High</v>
      </c>
      <c r="W272" s="111">
        <f t="shared" ca="1" si="8"/>
        <v>46152.63727835648</v>
      </c>
      <c r="X272">
        <f>DATEDIF(data[[#This Row],[Order Date]], data[[#This Row],[Ship Date]], "d")</f>
        <v>5</v>
      </c>
      <c r="Y272">
        <f t="shared" ca="1" si="9"/>
        <v>2026</v>
      </c>
      <c r="Z272" s="159">
        <f>EOMONTH(data[[#This Row],[Order Date]],0)</f>
        <v>43100</v>
      </c>
      <c r="AA272" s="159" t="str">
        <f>LEFT(data[[#This Row],[Customer Name]],3)</f>
        <v>Kri</v>
      </c>
    </row>
    <row r="273" spans="1:27"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IF(data[[#This Row],[Sales]]&gt;500,"High","Low")</f>
        <v>Low</v>
      </c>
      <c r="W273" s="111">
        <f t="shared" ca="1" si="8"/>
        <v>46152.63727835648</v>
      </c>
      <c r="X273">
        <f>DATEDIF(data[[#This Row],[Order Date]], data[[#This Row],[Ship Date]], "d")</f>
        <v>1</v>
      </c>
      <c r="Y273">
        <f t="shared" ca="1" si="9"/>
        <v>2026</v>
      </c>
      <c r="Z273" s="159">
        <f>EOMONTH(data[[#This Row],[Order Date]],0)</f>
        <v>42216</v>
      </c>
      <c r="AA273" s="159" t="str">
        <f>LEFT(data[[#This Row],[Customer Name]],3)</f>
        <v>Hel</v>
      </c>
    </row>
    <row r="274" spans="1:27"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IF(data[[#This Row],[Sales]]&gt;500,"High","Low")</f>
        <v>Low</v>
      </c>
      <c r="W274" s="111">
        <f t="shared" ca="1" si="8"/>
        <v>46152.63727835648</v>
      </c>
      <c r="X274">
        <f>DATEDIF(data[[#This Row],[Order Date]], data[[#This Row],[Ship Date]], "d")</f>
        <v>1</v>
      </c>
      <c r="Y274">
        <f t="shared" ca="1" si="9"/>
        <v>2026</v>
      </c>
      <c r="Z274" s="159">
        <f>EOMONTH(data[[#This Row],[Order Date]],0)</f>
        <v>42216</v>
      </c>
      <c r="AA274" s="159" t="str">
        <f>LEFT(data[[#This Row],[Customer Name]],3)</f>
        <v>Hel</v>
      </c>
    </row>
    <row r="275" spans="1:27"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IF(data[[#This Row],[Sales]]&gt;500,"High","Low")</f>
        <v>Low</v>
      </c>
      <c r="W275" s="111">
        <f t="shared" ca="1" si="8"/>
        <v>46152.63727835648</v>
      </c>
      <c r="X275">
        <f>DATEDIF(data[[#This Row],[Order Date]], data[[#This Row],[Ship Date]], "d")</f>
        <v>1</v>
      </c>
      <c r="Y275">
        <f t="shared" ca="1" si="9"/>
        <v>2026</v>
      </c>
      <c r="Z275" s="159">
        <f>EOMONTH(data[[#This Row],[Order Date]],0)</f>
        <v>42216</v>
      </c>
      <c r="AA275" s="159" t="str">
        <f>LEFT(data[[#This Row],[Customer Name]],3)</f>
        <v>Hel</v>
      </c>
    </row>
    <row r="276" spans="1:27"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IF(data[[#This Row],[Sales]]&gt;500,"High","Low")</f>
        <v>Low</v>
      </c>
      <c r="W276" s="111">
        <f t="shared" ca="1" si="8"/>
        <v>46152.63727835648</v>
      </c>
      <c r="X276">
        <f>DATEDIF(data[[#This Row],[Order Date]], data[[#This Row],[Ship Date]], "d")</f>
        <v>1</v>
      </c>
      <c r="Y276">
        <f t="shared" ca="1" si="9"/>
        <v>2026</v>
      </c>
      <c r="Z276" s="159">
        <f>EOMONTH(data[[#This Row],[Order Date]],0)</f>
        <v>43008</v>
      </c>
      <c r="AA276" s="159" t="str">
        <f>LEFT(data[[#This Row],[Customer Name]],3)</f>
        <v>Bar</v>
      </c>
    </row>
    <row r="277" spans="1:27"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IF(data[[#This Row],[Sales]]&gt;500,"High","Low")</f>
        <v>Low</v>
      </c>
      <c r="W277" s="111">
        <f t="shared" ca="1" si="8"/>
        <v>46152.63727835648</v>
      </c>
      <c r="X277">
        <f>DATEDIF(data[[#This Row],[Order Date]], data[[#This Row],[Ship Date]], "d")</f>
        <v>1</v>
      </c>
      <c r="Y277">
        <f t="shared" ca="1" si="9"/>
        <v>2026</v>
      </c>
      <c r="Z277" s="159">
        <f>EOMONTH(data[[#This Row],[Order Date]],0)</f>
        <v>43008</v>
      </c>
      <c r="AA277" s="159" t="str">
        <f>LEFT(data[[#This Row],[Customer Name]],3)</f>
        <v>Bar</v>
      </c>
    </row>
    <row r="278" spans="1:27"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IF(data[[#This Row],[Sales]]&gt;500,"High","Low")</f>
        <v>Low</v>
      </c>
      <c r="W278" s="111">
        <f t="shared" ca="1" si="8"/>
        <v>46152.63727835648</v>
      </c>
      <c r="X278">
        <f>DATEDIF(data[[#This Row],[Order Date]], data[[#This Row],[Ship Date]], "d")</f>
        <v>4</v>
      </c>
      <c r="Y278">
        <f t="shared" ca="1" si="9"/>
        <v>2026</v>
      </c>
      <c r="Z278" s="159">
        <f>EOMONTH(data[[#This Row],[Order Date]],0)</f>
        <v>43039</v>
      </c>
      <c r="AA278" s="159" t="str">
        <f>LEFT(data[[#This Row],[Customer Name]],3)</f>
        <v>And</v>
      </c>
    </row>
    <row r="279" spans="1:27"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IF(data[[#This Row],[Sales]]&gt;500,"High","Low")</f>
        <v>Low</v>
      </c>
      <c r="W279" s="111">
        <f t="shared" ca="1" si="8"/>
        <v>46152.63727835648</v>
      </c>
      <c r="X279">
        <f>DATEDIF(data[[#This Row],[Order Date]], data[[#This Row],[Ship Date]], "d")</f>
        <v>4</v>
      </c>
      <c r="Y279">
        <f t="shared" ca="1" si="9"/>
        <v>2026</v>
      </c>
      <c r="Z279" s="159">
        <f>EOMONTH(data[[#This Row],[Order Date]],0)</f>
        <v>43039</v>
      </c>
      <c r="AA279" s="159" t="str">
        <f>LEFT(data[[#This Row],[Customer Name]],3)</f>
        <v>And</v>
      </c>
    </row>
    <row r="280" spans="1:27"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IF(data[[#This Row],[Sales]]&gt;500,"High","Low")</f>
        <v>Low</v>
      </c>
      <c r="W280" s="111">
        <f t="shared" ca="1" si="8"/>
        <v>46152.63727835648</v>
      </c>
      <c r="X280">
        <f>DATEDIF(data[[#This Row],[Order Date]], data[[#This Row],[Ship Date]], "d")</f>
        <v>4</v>
      </c>
      <c r="Y280">
        <f t="shared" ca="1" si="9"/>
        <v>2026</v>
      </c>
      <c r="Z280" s="159">
        <f>EOMONTH(data[[#This Row],[Order Date]],0)</f>
        <v>43039</v>
      </c>
      <c r="AA280" s="159" t="str">
        <f>LEFT(data[[#This Row],[Customer Name]],3)</f>
        <v>And</v>
      </c>
    </row>
    <row r="281" spans="1:27"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IF(data[[#This Row],[Sales]]&gt;500,"High","Low")</f>
        <v>Low</v>
      </c>
      <c r="W281" s="111">
        <f t="shared" ca="1" si="8"/>
        <v>46152.63727835648</v>
      </c>
      <c r="X281">
        <f>DATEDIF(data[[#This Row],[Order Date]], data[[#This Row],[Ship Date]], "d")</f>
        <v>4</v>
      </c>
      <c r="Y281">
        <f t="shared" ca="1" si="9"/>
        <v>2026</v>
      </c>
      <c r="Z281" s="159">
        <f>EOMONTH(data[[#This Row],[Order Date]],0)</f>
        <v>43039</v>
      </c>
      <c r="AA281" s="159" t="str">
        <f>LEFT(data[[#This Row],[Customer Name]],3)</f>
        <v>And</v>
      </c>
    </row>
    <row r="282" spans="1:27"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IF(data[[#This Row],[Sales]]&gt;500,"High","Low")</f>
        <v>Low</v>
      </c>
      <c r="W282" s="111">
        <f t="shared" ca="1" si="8"/>
        <v>46152.63727835648</v>
      </c>
      <c r="X282">
        <f>DATEDIF(data[[#This Row],[Order Date]], data[[#This Row],[Ship Date]], "d")</f>
        <v>2</v>
      </c>
      <c r="Y282">
        <f t="shared" ca="1" si="9"/>
        <v>2026</v>
      </c>
      <c r="Z282" s="159">
        <f>EOMONTH(data[[#This Row],[Order Date]],0)</f>
        <v>42277</v>
      </c>
      <c r="AA282" s="159" t="str">
        <f>LEFT(data[[#This Row],[Customer Name]],3)</f>
        <v>Ste</v>
      </c>
    </row>
    <row r="283" spans="1:27"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IF(data[[#This Row],[Sales]]&gt;500,"High","Low")</f>
        <v>High</v>
      </c>
      <c r="W283" s="111">
        <f t="shared" ca="1" si="8"/>
        <v>46152.63727835648</v>
      </c>
      <c r="X283">
        <f>DATEDIF(data[[#This Row],[Order Date]], data[[#This Row],[Ship Date]], "d")</f>
        <v>2</v>
      </c>
      <c r="Y283">
        <f t="shared" ca="1" si="9"/>
        <v>2026</v>
      </c>
      <c r="Z283" s="159">
        <f>EOMONTH(data[[#This Row],[Order Date]],0)</f>
        <v>42277</v>
      </c>
      <c r="AA283" s="159" t="str">
        <f>LEFT(data[[#This Row],[Customer Name]],3)</f>
        <v>Ste</v>
      </c>
    </row>
    <row r="284" spans="1:27"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IF(data[[#This Row],[Sales]]&gt;500,"High","Low")</f>
        <v>High</v>
      </c>
      <c r="W284" s="111">
        <f t="shared" ca="1" si="8"/>
        <v>46152.63727835648</v>
      </c>
      <c r="X284">
        <f>DATEDIF(data[[#This Row],[Order Date]], data[[#This Row],[Ship Date]], "d")</f>
        <v>4</v>
      </c>
      <c r="Y284">
        <f t="shared" ca="1" si="9"/>
        <v>2026</v>
      </c>
      <c r="Z284" s="159">
        <f>EOMONTH(data[[#This Row],[Order Date]],0)</f>
        <v>42338</v>
      </c>
      <c r="AA284" s="159" t="str">
        <f>LEFT(data[[#This Row],[Customer Name]],3)</f>
        <v>Jas</v>
      </c>
    </row>
    <row r="285" spans="1:27"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IF(data[[#This Row],[Sales]]&gt;500,"High","Low")</f>
        <v>Low</v>
      </c>
      <c r="W285" s="111">
        <f t="shared" ca="1" si="8"/>
        <v>46152.63727835648</v>
      </c>
      <c r="X285">
        <f>DATEDIF(data[[#This Row],[Order Date]], data[[#This Row],[Ship Date]], "d")</f>
        <v>6</v>
      </c>
      <c r="Y285">
        <f t="shared" ca="1" si="9"/>
        <v>2026</v>
      </c>
      <c r="Z285" s="159">
        <f>EOMONTH(data[[#This Row],[Order Date]],0)</f>
        <v>42277</v>
      </c>
      <c r="AA285" s="159" t="str">
        <f>LEFT(data[[#This Row],[Customer Name]],3)</f>
        <v>Tra</v>
      </c>
    </row>
    <row r="286" spans="1:27"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IF(data[[#This Row],[Sales]]&gt;500,"High","Low")</f>
        <v>Low</v>
      </c>
      <c r="W286" s="111">
        <f t="shared" ca="1" si="8"/>
        <v>46152.63727835648</v>
      </c>
      <c r="X286">
        <f>DATEDIF(data[[#This Row],[Order Date]], data[[#This Row],[Ship Date]], "d")</f>
        <v>6</v>
      </c>
      <c r="Y286">
        <f t="shared" ca="1" si="9"/>
        <v>2026</v>
      </c>
      <c r="Z286" s="159">
        <f>EOMONTH(data[[#This Row],[Order Date]],0)</f>
        <v>42277</v>
      </c>
      <c r="AA286" s="159" t="str">
        <f>LEFT(data[[#This Row],[Customer Name]],3)</f>
        <v>Tra</v>
      </c>
    </row>
    <row r="287" spans="1:27"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IF(data[[#This Row],[Sales]]&gt;500,"High","Low")</f>
        <v>Low</v>
      </c>
      <c r="W287" s="111">
        <f t="shared" ca="1" si="8"/>
        <v>46152.63727835648</v>
      </c>
      <c r="X287">
        <f>DATEDIF(data[[#This Row],[Order Date]], data[[#This Row],[Ship Date]], "d")</f>
        <v>6</v>
      </c>
      <c r="Y287">
        <f t="shared" ca="1" si="9"/>
        <v>2026</v>
      </c>
      <c r="Z287" s="159">
        <f>EOMONTH(data[[#This Row],[Order Date]],0)</f>
        <v>42277</v>
      </c>
      <c r="AA287" s="159" t="str">
        <f>LEFT(data[[#This Row],[Customer Name]],3)</f>
        <v>Tra</v>
      </c>
    </row>
    <row r="288" spans="1:27"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IF(data[[#This Row],[Sales]]&gt;500,"High","Low")</f>
        <v>Low</v>
      </c>
      <c r="W288" s="111">
        <f t="shared" ca="1" si="8"/>
        <v>46152.63727835648</v>
      </c>
      <c r="X288">
        <f>DATEDIF(data[[#This Row],[Order Date]], data[[#This Row],[Ship Date]], "d")</f>
        <v>2</v>
      </c>
      <c r="Y288">
        <f t="shared" ca="1" si="9"/>
        <v>2026</v>
      </c>
      <c r="Z288" s="159">
        <f>EOMONTH(data[[#This Row],[Order Date]],0)</f>
        <v>42735</v>
      </c>
      <c r="AA288" s="159" t="str">
        <f>LEFT(data[[#This Row],[Customer Name]],3)</f>
        <v>Ala</v>
      </c>
    </row>
    <row r="289" spans="1:27"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IF(data[[#This Row],[Sales]]&gt;500,"High","Low")</f>
        <v>Low</v>
      </c>
      <c r="W289" s="111">
        <f t="shared" ca="1" si="8"/>
        <v>46152.63727835648</v>
      </c>
      <c r="X289">
        <f>DATEDIF(data[[#This Row],[Order Date]], data[[#This Row],[Ship Date]], "d")</f>
        <v>2</v>
      </c>
      <c r="Y289">
        <f t="shared" ca="1" si="9"/>
        <v>2026</v>
      </c>
      <c r="Z289" s="159">
        <f>EOMONTH(data[[#This Row],[Order Date]],0)</f>
        <v>42735</v>
      </c>
      <c r="AA289" s="159" t="str">
        <f>LEFT(data[[#This Row],[Customer Name]],3)</f>
        <v>Ala</v>
      </c>
    </row>
    <row r="290" spans="1:27"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IF(data[[#This Row],[Sales]]&gt;500,"High","Low")</f>
        <v>High</v>
      </c>
      <c r="W290" s="111">
        <f t="shared" ca="1" si="8"/>
        <v>46152.63727835648</v>
      </c>
      <c r="X290">
        <f>DATEDIF(data[[#This Row],[Order Date]], data[[#This Row],[Ship Date]], "d")</f>
        <v>2</v>
      </c>
      <c r="Y290">
        <f t="shared" ca="1" si="9"/>
        <v>2026</v>
      </c>
      <c r="Z290" s="159">
        <f>EOMONTH(data[[#This Row],[Order Date]],0)</f>
        <v>42735</v>
      </c>
      <c r="AA290" s="159" t="str">
        <f>LEFT(data[[#This Row],[Customer Name]],3)</f>
        <v>Ala</v>
      </c>
    </row>
    <row r="291" spans="1:27"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IF(data[[#This Row],[Sales]]&gt;500,"High","Low")</f>
        <v>Low</v>
      </c>
      <c r="W291" s="111">
        <f t="shared" ca="1" si="8"/>
        <v>46152.63727835648</v>
      </c>
      <c r="X291">
        <f>DATEDIF(data[[#This Row],[Order Date]], data[[#This Row],[Ship Date]], "d")</f>
        <v>4</v>
      </c>
      <c r="Y291">
        <f t="shared" ca="1" si="9"/>
        <v>2026</v>
      </c>
      <c r="Z291" s="159">
        <f>EOMONTH(data[[#This Row],[Order Date]],0)</f>
        <v>42704</v>
      </c>
      <c r="AA291" s="159" t="str">
        <f>LEFT(data[[#This Row],[Customer Name]],3)</f>
        <v>Nic</v>
      </c>
    </row>
    <row r="292" spans="1:27"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IF(data[[#This Row],[Sales]]&gt;500,"High","Low")</f>
        <v>Low</v>
      </c>
      <c r="W292" s="111">
        <f t="shared" ca="1" si="8"/>
        <v>46152.63727835648</v>
      </c>
      <c r="X292">
        <f>DATEDIF(data[[#This Row],[Order Date]], data[[#This Row],[Ship Date]], "d")</f>
        <v>4</v>
      </c>
      <c r="Y292">
        <f t="shared" ca="1" si="9"/>
        <v>2026</v>
      </c>
      <c r="Z292" s="159">
        <f>EOMONTH(data[[#This Row],[Order Date]],0)</f>
        <v>42704</v>
      </c>
      <c r="AA292" s="159" t="str">
        <f>LEFT(data[[#This Row],[Customer Name]],3)</f>
        <v>Nic</v>
      </c>
    </row>
    <row r="293" spans="1:27"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IF(data[[#This Row],[Sales]]&gt;500,"High","Low")</f>
        <v>Low</v>
      </c>
      <c r="W293" s="111">
        <f t="shared" ca="1" si="8"/>
        <v>46152.63727835648</v>
      </c>
      <c r="X293">
        <f>DATEDIF(data[[#This Row],[Order Date]], data[[#This Row],[Ship Date]], "d")</f>
        <v>4</v>
      </c>
      <c r="Y293">
        <f t="shared" ca="1" si="9"/>
        <v>2026</v>
      </c>
      <c r="Z293" s="159">
        <f>EOMONTH(data[[#This Row],[Order Date]],0)</f>
        <v>42704</v>
      </c>
      <c r="AA293" s="159" t="str">
        <f>LEFT(data[[#This Row],[Customer Name]],3)</f>
        <v>Nic</v>
      </c>
    </row>
    <row r="294" spans="1:27"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IF(data[[#This Row],[Sales]]&gt;500,"High","Low")</f>
        <v>Low</v>
      </c>
      <c r="W294" s="111">
        <f t="shared" ca="1" si="8"/>
        <v>46152.63727835648</v>
      </c>
      <c r="X294">
        <f>DATEDIF(data[[#This Row],[Order Date]], data[[#This Row],[Ship Date]], "d")</f>
        <v>4</v>
      </c>
      <c r="Y294">
        <f t="shared" ca="1" si="9"/>
        <v>2026</v>
      </c>
      <c r="Z294" s="159">
        <f>EOMONTH(data[[#This Row],[Order Date]],0)</f>
        <v>42704</v>
      </c>
      <c r="AA294" s="159" t="str">
        <f>LEFT(data[[#This Row],[Customer Name]],3)</f>
        <v>Nic</v>
      </c>
    </row>
    <row r="295" spans="1:27"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IF(data[[#This Row],[Sales]]&gt;500,"High","Low")</f>
        <v>Low</v>
      </c>
      <c r="W295" s="111">
        <f t="shared" ca="1" si="8"/>
        <v>46152.63727835648</v>
      </c>
      <c r="X295">
        <f>DATEDIF(data[[#This Row],[Order Date]], data[[#This Row],[Ship Date]], "d")</f>
        <v>2</v>
      </c>
      <c r="Y295">
        <f t="shared" ca="1" si="9"/>
        <v>2026</v>
      </c>
      <c r="Z295" s="159">
        <f>EOMONTH(data[[#This Row],[Order Date]],0)</f>
        <v>42004</v>
      </c>
      <c r="AA295" s="159" t="str">
        <f>LEFT(data[[#This Row],[Customer Name]],3)</f>
        <v>Kel</v>
      </c>
    </row>
    <row r="296" spans="1:27"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IF(data[[#This Row],[Sales]]&gt;500,"High","Low")</f>
        <v>Low</v>
      </c>
      <c r="W296" s="111">
        <f t="shared" ca="1" si="8"/>
        <v>46152.63727835648</v>
      </c>
      <c r="X296">
        <f>DATEDIF(data[[#This Row],[Order Date]], data[[#This Row],[Ship Date]], "d")</f>
        <v>2</v>
      </c>
      <c r="Y296">
        <f t="shared" ca="1" si="9"/>
        <v>2026</v>
      </c>
      <c r="Z296" s="159">
        <f>EOMONTH(data[[#This Row],[Order Date]],0)</f>
        <v>42004</v>
      </c>
      <c r="AA296" s="159" t="str">
        <f>LEFT(data[[#This Row],[Customer Name]],3)</f>
        <v>Kel</v>
      </c>
    </row>
    <row r="297" spans="1:27"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IF(data[[#This Row],[Sales]]&gt;500,"High","Low")</f>
        <v>Low</v>
      </c>
      <c r="W297" s="111">
        <f t="shared" ca="1" si="8"/>
        <v>46152.63727835648</v>
      </c>
      <c r="X297">
        <f>DATEDIF(data[[#This Row],[Order Date]], data[[#This Row],[Ship Date]], "d")</f>
        <v>2</v>
      </c>
      <c r="Y297">
        <f t="shared" ca="1" si="9"/>
        <v>2026</v>
      </c>
      <c r="Z297" s="159">
        <f>EOMONTH(data[[#This Row],[Order Date]],0)</f>
        <v>42004</v>
      </c>
      <c r="AA297" s="159" t="str">
        <f>LEFT(data[[#This Row],[Customer Name]],3)</f>
        <v>Kel</v>
      </c>
    </row>
    <row r="298" spans="1:27"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IF(data[[#This Row],[Sales]]&gt;500,"High","Low")</f>
        <v>Low</v>
      </c>
      <c r="W298" s="111">
        <f t="shared" ca="1" si="8"/>
        <v>46152.63727835648</v>
      </c>
      <c r="X298">
        <f>DATEDIF(data[[#This Row],[Order Date]], data[[#This Row],[Ship Date]], "d")</f>
        <v>2</v>
      </c>
      <c r="Y298">
        <f t="shared" ca="1" si="9"/>
        <v>2026</v>
      </c>
      <c r="Z298" s="159">
        <f>EOMONTH(data[[#This Row],[Order Date]],0)</f>
        <v>42004</v>
      </c>
      <c r="AA298" s="159" t="str">
        <f>LEFT(data[[#This Row],[Customer Name]],3)</f>
        <v>Kel</v>
      </c>
    </row>
    <row r="299" spans="1:27"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IF(data[[#This Row],[Sales]]&gt;500,"High","Low")</f>
        <v>Low</v>
      </c>
      <c r="W299" s="111">
        <f t="shared" ca="1" si="8"/>
        <v>46152.63727835648</v>
      </c>
      <c r="X299">
        <f>DATEDIF(data[[#This Row],[Order Date]], data[[#This Row],[Ship Date]], "d")</f>
        <v>2</v>
      </c>
      <c r="Y299">
        <f t="shared" ca="1" si="9"/>
        <v>2026</v>
      </c>
      <c r="Z299" s="159">
        <f>EOMONTH(data[[#This Row],[Order Date]],0)</f>
        <v>42004</v>
      </c>
      <c r="AA299" s="159" t="str">
        <f>LEFT(data[[#This Row],[Customer Name]],3)</f>
        <v>Kel</v>
      </c>
    </row>
    <row r="300" spans="1:27"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IF(data[[#This Row],[Sales]]&gt;500,"High","Low")</f>
        <v>Low</v>
      </c>
      <c r="W300" s="111">
        <f t="shared" ca="1" si="8"/>
        <v>46152.63727835648</v>
      </c>
      <c r="X300">
        <f>DATEDIF(data[[#This Row],[Order Date]], data[[#This Row],[Ship Date]], "d")</f>
        <v>6</v>
      </c>
      <c r="Y300">
        <f t="shared" ca="1" si="9"/>
        <v>2026</v>
      </c>
      <c r="Z300" s="159">
        <f>EOMONTH(data[[#This Row],[Order Date]],0)</f>
        <v>42674</v>
      </c>
      <c r="AA300" s="159" t="str">
        <f>LEFT(data[[#This Row],[Customer Name]],3)</f>
        <v>Jon</v>
      </c>
    </row>
    <row r="301" spans="1:27"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IF(data[[#This Row],[Sales]]&gt;500,"High","Low")</f>
        <v>High</v>
      </c>
      <c r="W301" s="111">
        <f t="shared" ca="1" si="8"/>
        <v>46152.63727835648</v>
      </c>
      <c r="X301">
        <f>DATEDIF(data[[#This Row],[Order Date]], data[[#This Row],[Ship Date]], "d")</f>
        <v>6</v>
      </c>
      <c r="Y301">
        <f t="shared" ca="1" si="9"/>
        <v>2026</v>
      </c>
      <c r="Z301" s="159">
        <f>EOMONTH(data[[#This Row],[Order Date]],0)</f>
        <v>42674</v>
      </c>
      <c r="AA301" s="159" t="str">
        <f>LEFT(data[[#This Row],[Customer Name]],3)</f>
        <v>Jon</v>
      </c>
    </row>
    <row r="302" spans="1:27"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IF(data[[#This Row],[Sales]]&gt;500,"High","Low")</f>
        <v>Low</v>
      </c>
      <c r="W302" s="111">
        <f t="shared" ca="1" si="8"/>
        <v>46152.63727835648</v>
      </c>
      <c r="X302">
        <f>DATEDIF(data[[#This Row],[Order Date]], data[[#This Row],[Ship Date]], "d")</f>
        <v>6</v>
      </c>
      <c r="Y302">
        <f t="shared" ca="1" si="9"/>
        <v>2026</v>
      </c>
      <c r="Z302" s="159">
        <f>EOMONTH(data[[#This Row],[Order Date]],0)</f>
        <v>42674</v>
      </c>
      <c r="AA302" s="159" t="str">
        <f>LEFT(data[[#This Row],[Customer Name]],3)</f>
        <v>Jon</v>
      </c>
    </row>
    <row r="303" spans="1:27"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IF(data[[#This Row],[Sales]]&gt;500,"High","Low")</f>
        <v>Low</v>
      </c>
      <c r="W303" s="111">
        <f t="shared" ca="1" si="8"/>
        <v>46152.63727835648</v>
      </c>
      <c r="X303">
        <f>DATEDIF(data[[#This Row],[Order Date]], data[[#This Row],[Ship Date]], "d")</f>
        <v>6</v>
      </c>
      <c r="Y303">
        <f t="shared" ca="1" si="9"/>
        <v>2026</v>
      </c>
      <c r="Z303" s="159">
        <f>EOMONTH(data[[#This Row],[Order Date]],0)</f>
        <v>42674</v>
      </c>
      <c r="AA303" s="159" t="str">
        <f>LEFT(data[[#This Row],[Customer Name]],3)</f>
        <v>Jon</v>
      </c>
    </row>
    <row r="304" spans="1:27"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IF(data[[#This Row],[Sales]]&gt;500,"High","Low")</f>
        <v>Low</v>
      </c>
      <c r="W304" s="111">
        <f t="shared" ca="1" si="8"/>
        <v>46152.63727835648</v>
      </c>
      <c r="X304">
        <f>DATEDIF(data[[#This Row],[Order Date]], data[[#This Row],[Ship Date]], "d")</f>
        <v>6</v>
      </c>
      <c r="Y304">
        <f t="shared" ca="1" si="9"/>
        <v>2026</v>
      </c>
      <c r="Z304" s="159">
        <f>EOMONTH(data[[#This Row],[Order Date]],0)</f>
        <v>42674</v>
      </c>
      <c r="AA304" s="159" t="str">
        <f>LEFT(data[[#This Row],[Customer Name]],3)</f>
        <v>Jon</v>
      </c>
    </row>
    <row r="305" spans="1:27"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IF(data[[#This Row],[Sales]]&gt;500,"High","Low")</f>
        <v>Low</v>
      </c>
      <c r="W305" s="111">
        <f t="shared" ca="1" si="8"/>
        <v>46152.63727835648</v>
      </c>
      <c r="X305">
        <f>DATEDIF(data[[#This Row],[Order Date]], data[[#This Row],[Ship Date]], "d")</f>
        <v>4</v>
      </c>
      <c r="Y305">
        <f t="shared" ca="1" si="9"/>
        <v>2026</v>
      </c>
      <c r="Z305" s="159">
        <f>EOMONTH(data[[#This Row],[Order Date]],0)</f>
        <v>43069</v>
      </c>
      <c r="AA305" s="159" t="str">
        <f>LEFT(data[[#This Row],[Customer Name]],3)</f>
        <v>Jon</v>
      </c>
    </row>
    <row r="306" spans="1:27"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IF(data[[#This Row],[Sales]]&gt;500,"High","Low")</f>
        <v>Low</v>
      </c>
      <c r="W306" s="111">
        <f t="shared" ca="1" si="8"/>
        <v>46152.63727835648</v>
      </c>
      <c r="X306">
        <f>DATEDIF(data[[#This Row],[Order Date]], data[[#This Row],[Ship Date]], "d")</f>
        <v>5</v>
      </c>
      <c r="Y306">
        <f t="shared" ca="1" si="9"/>
        <v>2026</v>
      </c>
      <c r="Z306" s="159">
        <f>EOMONTH(data[[#This Row],[Order Date]],0)</f>
        <v>42155</v>
      </c>
      <c r="AA306" s="159" t="str">
        <f>LEFT(data[[#This Row],[Customer Name]],3)</f>
        <v>Ala</v>
      </c>
    </row>
    <row r="307" spans="1:27"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IF(data[[#This Row],[Sales]]&gt;500,"High","Low")</f>
        <v>Low</v>
      </c>
      <c r="W307" s="111">
        <f t="shared" ca="1" si="8"/>
        <v>46152.63727835648</v>
      </c>
      <c r="X307">
        <f>DATEDIF(data[[#This Row],[Order Date]], data[[#This Row],[Ship Date]], "d")</f>
        <v>5</v>
      </c>
      <c r="Y307">
        <f t="shared" ca="1" si="9"/>
        <v>2026</v>
      </c>
      <c r="Z307" s="159">
        <f>EOMONTH(data[[#This Row],[Order Date]],0)</f>
        <v>42004</v>
      </c>
      <c r="AA307" s="159" t="str">
        <f>LEFT(data[[#This Row],[Customer Name]],3)</f>
        <v>Ken</v>
      </c>
    </row>
    <row r="308" spans="1:27"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IF(data[[#This Row],[Sales]]&gt;500,"High","Low")</f>
        <v>Low</v>
      </c>
      <c r="W308" s="111">
        <f t="shared" ca="1" si="8"/>
        <v>46152.63727835648</v>
      </c>
      <c r="X308">
        <f>DATEDIF(data[[#This Row],[Order Date]], data[[#This Row],[Ship Date]], "d")</f>
        <v>5</v>
      </c>
      <c r="Y308">
        <f t="shared" ca="1" si="9"/>
        <v>2026</v>
      </c>
      <c r="Z308" s="159">
        <f>EOMONTH(data[[#This Row],[Order Date]],0)</f>
        <v>41820</v>
      </c>
      <c r="AA308" s="159" t="str">
        <f>LEFT(data[[#This Row],[Customer Name]],3)</f>
        <v>Cor</v>
      </c>
    </row>
    <row r="309" spans="1:27"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IF(data[[#This Row],[Sales]]&gt;500,"High","Low")</f>
        <v>Low</v>
      </c>
      <c r="W309" s="111">
        <f t="shared" ca="1" si="8"/>
        <v>46152.63727835648</v>
      </c>
      <c r="X309">
        <f>DATEDIF(data[[#This Row],[Order Date]], data[[#This Row],[Ship Date]], "d")</f>
        <v>5</v>
      </c>
      <c r="Y309">
        <f t="shared" ca="1" si="9"/>
        <v>2026</v>
      </c>
      <c r="Z309" s="159">
        <f>EOMONTH(data[[#This Row],[Order Date]],0)</f>
        <v>41820</v>
      </c>
      <c r="AA309" s="159" t="str">
        <f>LEFT(data[[#This Row],[Customer Name]],3)</f>
        <v>Cor</v>
      </c>
    </row>
    <row r="310" spans="1:27"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IF(data[[#This Row],[Sales]]&gt;500,"High","Low")</f>
        <v>Low</v>
      </c>
      <c r="W310" s="111">
        <f t="shared" ca="1" si="8"/>
        <v>46152.63727835648</v>
      </c>
      <c r="X310">
        <f>DATEDIF(data[[#This Row],[Order Date]], data[[#This Row],[Ship Date]], "d")</f>
        <v>2</v>
      </c>
      <c r="Y310">
        <f t="shared" ca="1" si="9"/>
        <v>2026</v>
      </c>
      <c r="Z310" s="159">
        <f>EOMONTH(data[[#This Row],[Order Date]],0)</f>
        <v>42855</v>
      </c>
      <c r="AA310" s="159" t="str">
        <f>LEFT(data[[#This Row],[Customer Name]],3)</f>
        <v>Sha</v>
      </c>
    </row>
    <row r="311" spans="1:27"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IF(data[[#This Row],[Sales]]&gt;500,"High","Low")</f>
        <v>Low</v>
      </c>
      <c r="W311" s="111">
        <f t="shared" ca="1" si="8"/>
        <v>46152.63727835648</v>
      </c>
      <c r="X311">
        <f>DATEDIF(data[[#This Row],[Order Date]], data[[#This Row],[Ship Date]], "d")</f>
        <v>2</v>
      </c>
      <c r="Y311">
        <f t="shared" ca="1" si="9"/>
        <v>2026</v>
      </c>
      <c r="Z311" s="159">
        <f>EOMONTH(data[[#This Row],[Order Date]],0)</f>
        <v>42643</v>
      </c>
      <c r="AA311" s="159" t="str">
        <f>LEFT(data[[#This Row],[Customer Name]],3)</f>
        <v>Ben</v>
      </c>
    </row>
    <row r="312" spans="1:27"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IF(data[[#This Row],[Sales]]&gt;500,"High","Low")</f>
        <v>Low</v>
      </c>
      <c r="W312" s="111">
        <f t="shared" ca="1" si="8"/>
        <v>46152.63727835648</v>
      </c>
      <c r="X312">
        <f>DATEDIF(data[[#This Row],[Order Date]], data[[#This Row],[Ship Date]], "d")</f>
        <v>2</v>
      </c>
      <c r="Y312">
        <f t="shared" ca="1" si="9"/>
        <v>2026</v>
      </c>
      <c r="Z312" s="159">
        <f>EOMONTH(data[[#This Row],[Order Date]],0)</f>
        <v>42643</v>
      </c>
      <c r="AA312" s="159" t="str">
        <f>LEFT(data[[#This Row],[Customer Name]],3)</f>
        <v>Ben</v>
      </c>
    </row>
    <row r="313" spans="1:27"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IF(data[[#This Row],[Sales]]&gt;500,"High","Low")</f>
        <v>Low</v>
      </c>
      <c r="W313" s="111">
        <f t="shared" ca="1" si="8"/>
        <v>46152.63727835648</v>
      </c>
      <c r="X313">
        <f>DATEDIF(data[[#This Row],[Order Date]], data[[#This Row],[Ship Date]], "d")</f>
        <v>2</v>
      </c>
      <c r="Y313">
        <f t="shared" ca="1" si="9"/>
        <v>2026</v>
      </c>
      <c r="Z313" s="159">
        <f>EOMONTH(data[[#This Row],[Order Date]],0)</f>
        <v>42643</v>
      </c>
      <c r="AA313" s="159" t="str">
        <f>LEFT(data[[#This Row],[Customer Name]],3)</f>
        <v>Ben</v>
      </c>
    </row>
    <row r="314" spans="1:27"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IF(data[[#This Row],[Sales]]&gt;500,"High","Low")</f>
        <v>Low</v>
      </c>
      <c r="W314" s="111">
        <f t="shared" ca="1" si="8"/>
        <v>46152.63727835648</v>
      </c>
      <c r="X314">
        <f>DATEDIF(data[[#This Row],[Order Date]], data[[#This Row],[Ship Date]], "d")</f>
        <v>2</v>
      </c>
      <c r="Y314">
        <f t="shared" ca="1" si="9"/>
        <v>2026</v>
      </c>
      <c r="Z314" s="159">
        <f>EOMONTH(data[[#This Row],[Order Date]],0)</f>
        <v>42643</v>
      </c>
      <c r="AA314" s="159" t="str">
        <f>LEFT(data[[#This Row],[Customer Name]],3)</f>
        <v>Ben</v>
      </c>
    </row>
    <row r="315" spans="1:27"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IF(data[[#This Row],[Sales]]&gt;500,"High","Low")</f>
        <v>Low</v>
      </c>
      <c r="W315" s="111">
        <f t="shared" ca="1" si="8"/>
        <v>46152.63727835648</v>
      </c>
      <c r="X315">
        <f>DATEDIF(data[[#This Row],[Order Date]], data[[#This Row],[Ship Date]], "d")</f>
        <v>6</v>
      </c>
      <c r="Y315">
        <f t="shared" ca="1" si="9"/>
        <v>2026</v>
      </c>
      <c r="Z315" s="159">
        <f>EOMONTH(data[[#This Row],[Order Date]],0)</f>
        <v>41912</v>
      </c>
      <c r="AA315" s="159" t="str">
        <f>LEFT(data[[#This Row],[Customer Name]],3)</f>
        <v>Tho</v>
      </c>
    </row>
    <row r="316" spans="1:27"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IF(data[[#This Row],[Sales]]&gt;500,"High","Low")</f>
        <v>Low</v>
      </c>
      <c r="W316" s="111">
        <f t="shared" ca="1" si="8"/>
        <v>46152.63727835648</v>
      </c>
      <c r="X316">
        <f>DATEDIF(data[[#This Row],[Order Date]], data[[#This Row],[Ship Date]], "d")</f>
        <v>7</v>
      </c>
      <c r="Y316">
        <f t="shared" ca="1" si="9"/>
        <v>2026</v>
      </c>
      <c r="Z316" s="159">
        <f>EOMONTH(data[[#This Row],[Order Date]],0)</f>
        <v>41882</v>
      </c>
      <c r="AA316" s="159" t="str">
        <f>LEFT(data[[#This Row],[Customer Name]],3)</f>
        <v>And</v>
      </c>
    </row>
    <row r="317" spans="1:27"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IF(data[[#This Row],[Sales]]&gt;500,"High","Low")</f>
        <v>Low</v>
      </c>
      <c r="W317" s="111">
        <f t="shared" ca="1" si="8"/>
        <v>46152.63727835648</v>
      </c>
      <c r="X317">
        <f>DATEDIF(data[[#This Row],[Order Date]], data[[#This Row],[Ship Date]], "d")</f>
        <v>7</v>
      </c>
      <c r="Y317">
        <f t="shared" ca="1" si="9"/>
        <v>2026</v>
      </c>
      <c r="Z317" s="159">
        <f>EOMONTH(data[[#This Row],[Order Date]],0)</f>
        <v>41882</v>
      </c>
      <c r="AA317" s="159" t="str">
        <f>LEFT(data[[#This Row],[Customer Name]],3)</f>
        <v>And</v>
      </c>
    </row>
    <row r="318" spans="1:27"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IF(data[[#This Row],[Sales]]&gt;500,"High","Low")</f>
        <v>Low</v>
      </c>
      <c r="W318" s="111">
        <f t="shared" ca="1" si="8"/>
        <v>46152.63727835648</v>
      </c>
      <c r="X318">
        <f>DATEDIF(data[[#This Row],[Order Date]], data[[#This Row],[Ship Date]], "d")</f>
        <v>2</v>
      </c>
      <c r="Y318">
        <f t="shared" ca="1" si="9"/>
        <v>2026</v>
      </c>
      <c r="Z318" s="159">
        <f>EOMONTH(data[[#This Row],[Order Date]],0)</f>
        <v>42004</v>
      </c>
      <c r="AA318" s="159" t="str">
        <f>LEFT(data[[#This Row],[Customer Name]],3)</f>
        <v>Sun</v>
      </c>
    </row>
    <row r="319" spans="1:27"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IF(data[[#This Row],[Sales]]&gt;500,"High","Low")</f>
        <v>Low</v>
      </c>
      <c r="W319" s="111">
        <f t="shared" ca="1" si="8"/>
        <v>46152.63727835648</v>
      </c>
      <c r="X319">
        <f>DATEDIF(data[[#This Row],[Order Date]], data[[#This Row],[Ship Date]], "d")</f>
        <v>5</v>
      </c>
      <c r="Y319">
        <f t="shared" ca="1" si="9"/>
        <v>2026</v>
      </c>
      <c r="Z319" s="159">
        <f>EOMONTH(data[[#This Row],[Order Date]],0)</f>
        <v>41973</v>
      </c>
      <c r="AA319" s="159" t="str">
        <f>LEFT(data[[#This Row],[Customer Name]],3)</f>
        <v>Nat</v>
      </c>
    </row>
    <row r="320" spans="1:27"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IF(data[[#This Row],[Sales]]&gt;500,"High","Low")</f>
        <v>High</v>
      </c>
      <c r="W320" s="111">
        <f t="shared" ca="1" si="8"/>
        <v>46152.63727835648</v>
      </c>
      <c r="X320">
        <f>DATEDIF(data[[#This Row],[Order Date]], data[[#This Row],[Ship Date]], "d")</f>
        <v>5</v>
      </c>
      <c r="Y320">
        <f t="shared" ca="1" si="9"/>
        <v>2026</v>
      </c>
      <c r="Z320" s="159">
        <f>EOMONTH(data[[#This Row],[Order Date]],0)</f>
        <v>41973</v>
      </c>
      <c r="AA320" s="159" t="str">
        <f>LEFT(data[[#This Row],[Customer Name]],3)</f>
        <v>Nat</v>
      </c>
    </row>
    <row r="321" spans="1:27"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IF(data[[#This Row],[Sales]]&gt;500,"High","Low")</f>
        <v>Low</v>
      </c>
      <c r="W321" s="111">
        <f t="shared" ca="1" si="8"/>
        <v>46152.63727835648</v>
      </c>
      <c r="X321">
        <f>DATEDIF(data[[#This Row],[Order Date]], data[[#This Row],[Ship Date]], "d")</f>
        <v>5</v>
      </c>
      <c r="Y321">
        <f t="shared" ca="1" si="9"/>
        <v>2026</v>
      </c>
      <c r="Z321" s="159">
        <f>EOMONTH(data[[#This Row],[Order Date]],0)</f>
        <v>41973</v>
      </c>
      <c r="AA321" s="159" t="str">
        <f>LEFT(data[[#This Row],[Customer Name]],3)</f>
        <v>Nat</v>
      </c>
    </row>
    <row r="322" spans="1:27"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IF(data[[#This Row],[Sales]]&gt;500,"High","Low")</f>
        <v>Low</v>
      </c>
      <c r="W322" s="111">
        <f t="shared" ref="W322:W385" ca="1" si="10">NOW()</f>
        <v>46152.63727835648</v>
      </c>
      <c r="X322">
        <f>DATEDIF(data[[#This Row],[Order Date]], data[[#This Row],[Ship Date]], "d")</f>
        <v>5</v>
      </c>
      <c r="Y322">
        <f t="shared" ref="Y322:Y385" ca="1" si="11">YEAR(TODAY())</f>
        <v>2026</v>
      </c>
      <c r="Z322" s="159">
        <f>EOMONTH(data[[#This Row],[Order Date]],0)</f>
        <v>41973</v>
      </c>
      <c r="AA322" s="159" t="str">
        <f>LEFT(data[[#This Row],[Customer Name]],3)</f>
        <v>Nat</v>
      </c>
    </row>
    <row r="323" spans="1:27"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IF(data[[#This Row],[Sales]]&gt;500,"High","Low")</f>
        <v>Low</v>
      </c>
      <c r="W323" s="111">
        <f t="shared" ca="1" si="10"/>
        <v>46152.63727835648</v>
      </c>
      <c r="X323">
        <f>DATEDIF(data[[#This Row],[Order Date]], data[[#This Row],[Ship Date]], "d")</f>
        <v>5</v>
      </c>
      <c r="Y323">
        <f t="shared" ca="1" si="11"/>
        <v>2026</v>
      </c>
      <c r="Z323" s="159">
        <f>EOMONTH(data[[#This Row],[Order Date]],0)</f>
        <v>41973</v>
      </c>
      <c r="AA323" s="159" t="str">
        <f>LEFT(data[[#This Row],[Customer Name]],3)</f>
        <v>Nat</v>
      </c>
    </row>
    <row r="324" spans="1:27"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IF(data[[#This Row],[Sales]]&gt;500,"High","Low")</f>
        <v>Low</v>
      </c>
      <c r="W324" s="111">
        <f t="shared" ca="1" si="10"/>
        <v>46152.63727835648</v>
      </c>
      <c r="X324">
        <f>DATEDIF(data[[#This Row],[Order Date]], data[[#This Row],[Ship Date]], "d")</f>
        <v>5</v>
      </c>
      <c r="Y324">
        <f t="shared" ca="1" si="11"/>
        <v>2026</v>
      </c>
      <c r="Z324" s="159">
        <f>EOMONTH(data[[#This Row],[Order Date]],0)</f>
        <v>41912</v>
      </c>
      <c r="AA324" s="159" t="str">
        <f>LEFT(data[[#This Row],[Customer Name]],3)</f>
        <v>Fra</v>
      </c>
    </row>
    <row r="325" spans="1:27"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IF(data[[#This Row],[Sales]]&gt;500,"High","Low")</f>
        <v>Low</v>
      </c>
      <c r="W325" s="111">
        <f t="shared" ca="1" si="10"/>
        <v>46152.63727835648</v>
      </c>
      <c r="X325">
        <f>DATEDIF(data[[#This Row],[Order Date]], data[[#This Row],[Ship Date]], "d")</f>
        <v>4</v>
      </c>
      <c r="Y325">
        <f t="shared" ca="1" si="11"/>
        <v>2026</v>
      </c>
      <c r="Z325" s="159">
        <f>EOMONTH(data[[#This Row],[Order Date]],0)</f>
        <v>42490</v>
      </c>
      <c r="AA325" s="159" t="str">
        <f>LEFT(data[[#This Row],[Customer Name]],3)</f>
        <v>Gra</v>
      </c>
    </row>
    <row r="326" spans="1:27"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IF(data[[#This Row],[Sales]]&gt;500,"High","Low")</f>
        <v>Low</v>
      </c>
      <c r="W326" s="111">
        <f t="shared" ca="1" si="10"/>
        <v>46152.63727835648</v>
      </c>
      <c r="X326">
        <f>DATEDIF(data[[#This Row],[Order Date]], data[[#This Row],[Ship Date]], "d")</f>
        <v>4</v>
      </c>
      <c r="Y326">
        <f t="shared" ca="1" si="11"/>
        <v>2026</v>
      </c>
      <c r="Z326" s="159">
        <f>EOMONTH(data[[#This Row],[Order Date]],0)</f>
        <v>42490</v>
      </c>
      <c r="AA326" s="159" t="str">
        <f>LEFT(data[[#This Row],[Customer Name]],3)</f>
        <v>Gra</v>
      </c>
    </row>
    <row r="327" spans="1:27"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IF(data[[#This Row],[Sales]]&gt;500,"High","Low")</f>
        <v>Low</v>
      </c>
      <c r="W327" s="111">
        <f t="shared" ca="1" si="10"/>
        <v>46152.63727835648</v>
      </c>
      <c r="X327">
        <f>DATEDIF(data[[#This Row],[Order Date]], data[[#This Row],[Ship Date]], "d")</f>
        <v>2</v>
      </c>
      <c r="Y327">
        <f t="shared" ca="1" si="11"/>
        <v>2026</v>
      </c>
      <c r="Z327" s="159">
        <f>EOMONTH(data[[#This Row],[Order Date]],0)</f>
        <v>43069</v>
      </c>
      <c r="AA327" s="159" t="str">
        <f>LEFT(data[[#This Row],[Customer Name]],3)</f>
        <v>Don</v>
      </c>
    </row>
    <row r="328" spans="1:27"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IF(data[[#This Row],[Sales]]&gt;500,"High","Low")</f>
        <v>Low</v>
      </c>
      <c r="W328" s="111">
        <f t="shared" ca="1" si="10"/>
        <v>46152.63727835648</v>
      </c>
      <c r="X328">
        <f>DATEDIF(data[[#This Row],[Order Date]], data[[#This Row],[Ship Date]], "d")</f>
        <v>2</v>
      </c>
      <c r="Y328">
        <f t="shared" ca="1" si="11"/>
        <v>2026</v>
      </c>
      <c r="Z328" s="159">
        <f>EOMONTH(data[[#This Row],[Order Date]],0)</f>
        <v>42613</v>
      </c>
      <c r="AA328" s="159" t="str">
        <f>LEFT(data[[#This Row],[Customer Name]],3)</f>
        <v>Pat</v>
      </c>
    </row>
    <row r="329" spans="1:27"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IF(data[[#This Row],[Sales]]&gt;500,"High","Low")</f>
        <v>Low</v>
      </c>
      <c r="W329" s="111">
        <f t="shared" ca="1" si="10"/>
        <v>46152.63727835648</v>
      </c>
      <c r="X329">
        <f>DATEDIF(data[[#This Row],[Order Date]], data[[#This Row],[Ship Date]], "d")</f>
        <v>2</v>
      </c>
      <c r="Y329">
        <f t="shared" ca="1" si="11"/>
        <v>2026</v>
      </c>
      <c r="Z329" s="159">
        <f>EOMONTH(data[[#This Row],[Order Date]],0)</f>
        <v>42613</v>
      </c>
      <c r="AA329" s="159" t="str">
        <f>LEFT(data[[#This Row],[Customer Name]],3)</f>
        <v>Pat</v>
      </c>
    </row>
    <row r="330" spans="1:27"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IF(data[[#This Row],[Sales]]&gt;500,"High","Low")</f>
        <v>High</v>
      </c>
      <c r="W330" s="111">
        <f t="shared" ca="1" si="10"/>
        <v>46152.63727835648</v>
      </c>
      <c r="X330">
        <f>DATEDIF(data[[#This Row],[Order Date]], data[[#This Row],[Ship Date]], "d")</f>
        <v>2</v>
      </c>
      <c r="Y330">
        <f t="shared" ca="1" si="11"/>
        <v>2026</v>
      </c>
      <c r="Z330" s="159">
        <f>EOMONTH(data[[#This Row],[Order Date]],0)</f>
        <v>42613</v>
      </c>
      <c r="AA330" s="159" t="str">
        <f>LEFT(data[[#This Row],[Customer Name]],3)</f>
        <v>Pat</v>
      </c>
    </row>
    <row r="331" spans="1:27"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IF(data[[#This Row],[Sales]]&gt;500,"High","Low")</f>
        <v>Low</v>
      </c>
      <c r="W331" s="111">
        <f t="shared" ca="1" si="10"/>
        <v>46152.63727835648</v>
      </c>
      <c r="X331">
        <f>DATEDIF(data[[#This Row],[Order Date]], data[[#This Row],[Ship Date]], "d")</f>
        <v>2</v>
      </c>
      <c r="Y331">
        <f t="shared" ca="1" si="11"/>
        <v>2026</v>
      </c>
      <c r="Z331" s="159">
        <f>EOMONTH(data[[#This Row],[Order Date]],0)</f>
        <v>42613</v>
      </c>
      <c r="AA331" s="159" t="str">
        <f>LEFT(data[[#This Row],[Customer Name]],3)</f>
        <v>Pat</v>
      </c>
    </row>
    <row r="332" spans="1:27"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IF(data[[#This Row],[Sales]]&gt;500,"High","Low")</f>
        <v>Low</v>
      </c>
      <c r="W332" s="111">
        <f t="shared" ca="1" si="10"/>
        <v>46152.63727835648</v>
      </c>
      <c r="X332">
        <f>DATEDIF(data[[#This Row],[Order Date]], data[[#This Row],[Ship Date]], "d")</f>
        <v>2</v>
      </c>
      <c r="Y332">
        <f t="shared" ca="1" si="11"/>
        <v>2026</v>
      </c>
      <c r="Z332" s="159">
        <f>EOMONTH(data[[#This Row],[Order Date]],0)</f>
        <v>42613</v>
      </c>
      <c r="AA332" s="159" t="str">
        <f>LEFT(data[[#This Row],[Customer Name]],3)</f>
        <v>Pat</v>
      </c>
    </row>
    <row r="333" spans="1:27"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IF(data[[#This Row],[Sales]]&gt;500,"High","Low")</f>
        <v>Low</v>
      </c>
      <c r="W333" s="111">
        <f t="shared" ca="1" si="10"/>
        <v>46152.63727835648</v>
      </c>
      <c r="X333">
        <f>DATEDIF(data[[#This Row],[Order Date]], data[[#This Row],[Ship Date]], "d")</f>
        <v>4</v>
      </c>
      <c r="Y333">
        <f t="shared" ca="1" si="11"/>
        <v>2026</v>
      </c>
      <c r="Z333" s="159">
        <f>EOMONTH(data[[#This Row],[Order Date]],0)</f>
        <v>42490</v>
      </c>
      <c r="AA333" s="159" t="str">
        <f>LEFT(data[[#This Row],[Customer Name]],3)</f>
        <v>Joh</v>
      </c>
    </row>
    <row r="334" spans="1:27"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IF(data[[#This Row],[Sales]]&gt;500,"High","Low")</f>
        <v>Low</v>
      </c>
      <c r="W334" s="111">
        <f t="shared" ca="1" si="10"/>
        <v>46152.63727835648</v>
      </c>
      <c r="X334">
        <f>DATEDIF(data[[#This Row],[Order Date]], data[[#This Row],[Ship Date]], "d")</f>
        <v>4</v>
      </c>
      <c r="Y334">
        <f t="shared" ca="1" si="11"/>
        <v>2026</v>
      </c>
      <c r="Z334" s="159">
        <f>EOMONTH(data[[#This Row],[Order Date]],0)</f>
        <v>42490</v>
      </c>
      <c r="AA334" s="159" t="str">
        <f>LEFT(data[[#This Row],[Customer Name]],3)</f>
        <v>Joh</v>
      </c>
    </row>
    <row r="335" spans="1:27"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IF(data[[#This Row],[Sales]]&gt;500,"High","Low")</f>
        <v>Low</v>
      </c>
      <c r="W335" s="111">
        <f t="shared" ca="1" si="10"/>
        <v>46152.63727835648</v>
      </c>
      <c r="X335">
        <f>DATEDIF(data[[#This Row],[Order Date]], data[[#This Row],[Ship Date]], "d")</f>
        <v>4</v>
      </c>
      <c r="Y335">
        <f t="shared" ca="1" si="11"/>
        <v>2026</v>
      </c>
      <c r="Z335" s="159">
        <f>EOMONTH(data[[#This Row],[Order Date]],0)</f>
        <v>42490</v>
      </c>
      <c r="AA335" s="159" t="str">
        <f>LEFT(data[[#This Row],[Customer Name]],3)</f>
        <v>Joh</v>
      </c>
    </row>
    <row r="336" spans="1:27"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IF(data[[#This Row],[Sales]]&gt;500,"High","Low")</f>
        <v>Low</v>
      </c>
      <c r="W336" s="111">
        <f t="shared" ca="1" si="10"/>
        <v>46152.63727835648</v>
      </c>
      <c r="X336">
        <f>DATEDIF(data[[#This Row],[Order Date]], data[[#This Row],[Ship Date]], "d")</f>
        <v>3</v>
      </c>
      <c r="Y336">
        <f t="shared" ca="1" si="11"/>
        <v>2026</v>
      </c>
      <c r="Z336" s="159">
        <f>EOMONTH(data[[#This Row],[Order Date]],0)</f>
        <v>42277</v>
      </c>
      <c r="AA336" s="159" t="str">
        <f>LEFT(data[[#This Row],[Customer Name]],3)</f>
        <v>Dou</v>
      </c>
    </row>
    <row r="337" spans="1:27"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IF(data[[#This Row],[Sales]]&gt;500,"High","Low")</f>
        <v>High</v>
      </c>
      <c r="W337" s="111">
        <f t="shared" ca="1" si="10"/>
        <v>46152.63727835648</v>
      </c>
      <c r="X337">
        <f>DATEDIF(data[[#This Row],[Order Date]], data[[#This Row],[Ship Date]], "d")</f>
        <v>3</v>
      </c>
      <c r="Y337">
        <f t="shared" ca="1" si="11"/>
        <v>2026</v>
      </c>
      <c r="Z337" s="159">
        <f>EOMONTH(data[[#This Row],[Order Date]],0)</f>
        <v>42277</v>
      </c>
      <c r="AA337" s="159" t="str">
        <f>LEFT(data[[#This Row],[Customer Name]],3)</f>
        <v>Dou</v>
      </c>
    </row>
    <row r="338" spans="1:27"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IF(data[[#This Row],[Sales]]&gt;500,"High","Low")</f>
        <v>Low</v>
      </c>
      <c r="W338" s="111">
        <f t="shared" ca="1" si="10"/>
        <v>46152.63727835648</v>
      </c>
      <c r="X338">
        <f>DATEDIF(data[[#This Row],[Order Date]], data[[#This Row],[Ship Date]], "d")</f>
        <v>3</v>
      </c>
      <c r="Y338">
        <f t="shared" ca="1" si="11"/>
        <v>2026</v>
      </c>
      <c r="Z338" s="159">
        <f>EOMONTH(data[[#This Row],[Order Date]],0)</f>
        <v>42277</v>
      </c>
      <c r="AA338" s="159" t="str">
        <f>LEFT(data[[#This Row],[Customer Name]],3)</f>
        <v>Dou</v>
      </c>
    </row>
    <row r="339" spans="1:27"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IF(data[[#This Row],[Sales]]&gt;500,"High","Low")</f>
        <v>Low</v>
      </c>
      <c r="W339" s="111">
        <f t="shared" ca="1" si="10"/>
        <v>46152.63727835648</v>
      </c>
      <c r="X339">
        <f>DATEDIF(data[[#This Row],[Order Date]], data[[#This Row],[Ship Date]], "d")</f>
        <v>5</v>
      </c>
      <c r="Y339">
        <f t="shared" ca="1" si="11"/>
        <v>2026</v>
      </c>
      <c r="Z339" s="159">
        <f>EOMONTH(data[[#This Row],[Order Date]],0)</f>
        <v>41851</v>
      </c>
      <c r="AA339" s="159" t="str">
        <f>LEFT(data[[#This Row],[Customer Name]],3)</f>
        <v>Aly</v>
      </c>
    </row>
    <row r="340" spans="1:27"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IF(data[[#This Row],[Sales]]&gt;500,"High","Low")</f>
        <v>High</v>
      </c>
      <c r="W340" s="111">
        <f t="shared" ca="1" si="10"/>
        <v>46152.63727835648</v>
      </c>
      <c r="X340">
        <f>DATEDIF(data[[#This Row],[Order Date]], data[[#This Row],[Ship Date]], "d")</f>
        <v>5</v>
      </c>
      <c r="Y340">
        <f t="shared" ca="1" si="11"/>
        <v>2026</v>
      </c>
      <c r="Z340" s="159">
        <f>EOMONTH(data[[#This Row],[Order Date]],0)</f>
        <v>41851</v>
      </c>
      <c r="AA340" s="159" t="str">
        <f>LEFT(data[[#This Row],[Customer Name]],3)</f>
        <v>Aly</v>
      </c>
    </row>
    <row r="341" spans="1:27"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IF(data[[#This Row],[Sales]]&gt;500,"High","Low")</f>
        <v>Low</v>
      </c>
      <c r="W341" s="111">
        <f t="shared" ca="1" si="10"/>
        <v>46152.63727835648</v>
      </c>
      <c r="X341">
        <f>DATEDIF(data[[#This Row],[Order Date]], data[[#This Row],[Ship Date]], "d")</f>
        <v>4</v>
      </c>
      <c r="Y341">
        <f t="shared" ca="1" si="11"/>
        <v>2026</v>
      </c>
      <c r="Z341" s="159">
        <f>EOMONTH(data[[#This Row],[Order Date]],0)</f>
        <v>42185</v>
      </c>
      <c r="AA341" s="159" t="str">
        <f>LEFT(data[[#This Row],[Customer Name]],3)</f>
        <v>Ken</v>
      </c>
    </row>
    <row r="342" spans="1:27"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IF(data[[#This Row],[Sales]]&gt;500,"High","Low")</f>
        <v>Low</v>
      </c>
      <c r="W342" s="111">
        <f t="shared" ca="1" si="10"/>
        <v>46152.63727835648</v>
      </c>
      <c r="X342">
        <f>DATEDIF(data[[#This Row],[Order Date]], data[[#This Row],[Ship Date]], "d")</f>
        <v>4</v>
      </c>
      <c r="Y342">
        <f t="shared" ca="1" si="11"/>
        <v>2026</v>
      </c>
      <c r="Z342" s="159">
        <f>EOMONTH(data[[#This Row],[Order Date]],0)</f>
        <v>41759</v>
      </c>
      <c r="AA342" s="159" t="str">
        <f>LEFT(data[[#This Row],[Customer Name]],3)</f>
        <v>Jon</v>
      </c>
    </row>
    <row r="343" spans="1:27"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IF(data[[#This Row],[Sales]]&gt;500,"High","Low")</f>
        <v>High</v>
      </c>
      <c r="W343" s="111">
        <f t="shared" ca="1" si="10"/>
        <v>46152.63727835648</v>
      </c>
      <c r="X343">
        <f>DATEDIF(data[[#This Row],[Order Date]], data[[#This Row],[Ship Date]], "d")</f>
        <v>4</v>
      </c>
      <c r="Y343">
        <f t="shared" ca="1" si="11"/>
        <v>2026</v>
      </c>
      <c r="Z343" s="159">
        <f>EOMONTH(data[[#This Row],[Order Date]],0)</f>
        <v>41759</v>
      </c>
      <c r="AA343" s="159" t="str">
        <f>LEFT(data[[#This Row],[Customer Name]],3)</f>
        <v>Jon</v>
      </c>
    </row>
    <row r="344" spans="1:27"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IF(data[[#This Row],[Sales]]&gt;500,"High","Low")</f>
        <v>Low</v>
      </c>
      <c r="W344" s="111">
        <f t="shared" ca="1" si="10"/>
        <v>46152.63727835648</v>
      </c>
      <c r="X344">
        <f>DATEDIF(data[[#This Row],[Order Date]], data[[#This Row],[Ship Date]], "d")</f>
        <v>4</v>
      </c>
      <c r="Y344">
        <f t="shared" ca="1" si="11"/>
        <v>2026</v>
      </c>
      <c r="Z344" s="159">
        <f>EOMONTH(data[[#This Row],[Order Date]],0)</f>
        <v>41759</v>
      </c>
      <c r="AA344" s="159" t="str">
        <f>LEFT(data[[#This Row],[Customer Name]],3)</f>
        <v>Jon</v>
      </c>
    </row>
    <row r="345" spans="1:27"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IF(data[[#This Row],[Sales]]&gt;500,"High","Low")</f>
        <v>Low</v>
      </c>
      <c r="W345" s="111">
        <f t="shared" ca="1" si="10"/>
        <v>46152.63727835648</v>
      </c>
      <c r="X345">
        <f>DATEDIF(data[[#This Row],[Order Date]], data[[#This Row],[Ship Date]], "d")</f>
        <v>4</v>
      </c>
      <c r="Y345">
        <f t="shared" ca="1" si="11"/>
        <v>2026</v>
      </c>
      <c r="Z345" s="159">
        <f>EOMONTH(data[[#This Row],[Order Date]],0)</f>
        <v>41759</v>
      </c>
      <c r="AA345" s="159" t="str">
        <f>LEFT(data[[#This Row],[Customer Name]],3)</f>
        <v>Jon</v>
      </c>
    </row>
    <row r="346" spans="1:27"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IF(data[[#This Row],[Sales]]&gt;500,"High","Low")</f>
        <v>Low</v>
      </c>
      <c r="W346" s="111">
        <f t="shared" ca="1" si="10"/>
        <v>46152.63727835648</v>
      </c>
      <c r="X346">
        <f>DATEDIF(data[[#This Row],[Order Date]], data[[#This Row],[Ship Date]], "d")</f>
        <v>4</v>
      </c>
      <c r="Y346">
        <f t="shared" ca="1" si="11"/>
        <v>2026</v>
      </c>
      <c r="Z346" s="159">
        <f>EOMONTH(data[[#This Row],[Order Date]],0)</f>
        <v>42369</v>
      </c>
      <c r="AA346" s="159" t="str">
        <f>LEFT(data[[#This Row],[Customer Name]],3)</f>
        <v>Cha</v>
      </c>
    </row>
    <row r="347" spans="1:27"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IF(data[[#This Row],[Sales]]&gt;500,"High","Low")</f>
        <v>Low</v>
      </c>
      <c r="W347" s="111">
        <f t="shared" ca="1" si="10"/>
        <v>46152.63727835648</v>
      </c>
      <c r="X347">
        <f>DATEDIF(data[[#This Row],[Order Date]], data[[#This Row],[Ship Date]], "d")</f>
        <v>4</v>
      </c>
      <c r="Y347">
        <f t="shared" ca="1" si="11"/>
        <v>2026</v>
      </c>
      <c r="Z347" s="159">
        <f>EOMONTH(data[[#This Row],[Order Date]],0)</f>
        <v>42916</v>
      </c>
      <c r="AA347" s="159" t="str">
        <f>LEFT(data[[#This Row],[Customer Name]],3)</f>
        <v>Cla</v>
      </c>
    </row>
    <row r="348" spans="1:27"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IF(data[[#This Row],[Sales]]&gt;500,"High","Low")</f>
        <v>Low</v>
      </c>
      <c r="W348" s="111">
        <f t="shared" ca="1" si="10"/>
        <v>46152.63727835648</v>
      </c>
      <c r="X348">
        <f>DATEDIF(data[[#This Row],[Order Date]], data[[#This Row],[Ship Date]], "d")</f>
        <v>4</v>
      </c>
      <c r="Y348">
        <f t="shared" ca="1" si="11"/>
        <v>2026</v>
      </c>
      <c r="Z348" s="159">
        <f>EOMONTH(data[[#This Row],[Order Date]],0)</f>
        <v>42947</v>
      </c>
      <c r="AA348" s="159" t="str">
        <f>LEFT(data[[#This Row],[Customer Name]],3)</f>
        <v>Tam</v>
      </c>
    </row>
    <row r="349" spans="1:27"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IF(data[[#This Row],[Sales]]&gt;500,"High","Low")</f>
        <v>Low</v>
      </c>
      <c r="W349" s="111">
        <f t="shared" ca="1" si="10"/>
        <v>46152.63727835648</v>
      </c>
      <c r="X349">
        <f>DATEDIF(data[[#This Row],[Order Date]], data[[#This Row],[Ship Date]], "d")</f>
        <v>4</v>
      </c>
      <c r="Y349">
        <f t="shared" ca="1" si="11"/>
        <v>2026</v>
      </c>
      <c r="Z349" s="159">
        <f>EOMONTH(data[[#This Row],[Order Date]],0)</f>
        <v>42947</v>
      </c>
      <c r="AA349" s="159" t="str">
        <f>LEFT(data[[#This Row],[Customer Name]],3)</f>
        <v>Tam</v>
      </c>
    </row>
    <row r="350" spans="1:27"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IF(data[[#This Row],[Sales]]&gt;500,"High","Low")</f>
        <v>Low</v>
      </c>
      <c r="W350" s="111">
        <f t="shared" ca="1" si="10"/>
        <v>46152.63727835648</v>
      </c>
      <c r="X350">
        <f>DATEDIF(data[[#This Row],[Order Date]], data[[#This Row],[Ship Date]], "d")</f>
        <v>4</v>
      </c>
      <c r="Y350">
        <f t="shared" ca="1" si="11"/>
        <v>2026</v>
      </c>
      <c r="Z350" s="159">
        <f>EOMONTH(data[[#This Row],[Order Date]],0)</f>
        <v>42947</v>
      </c>
      <c r="AA350" s="159" t="str">
        <f>LEFT(data[[#This Row],[Customer Name]],3)</f>
        <v>Tam</v>
      </c>
    </row>
    <row r="351" spans="1:27"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IF(data[[#This Row],[Sales]]&gt;500,"High","Low")</f>
        <v>Low</v>
      </c>
      <c r="W351" s="111">
        <f t="shared" ca="1" si="10"/>
        <v>46152.63727835648</v>
      </c>
      <c r="X351">
        <f>DATEDIF(data[[#This Row],[Order Date]], data[[#This Row],[Ship Date]], "d")</f>
        <v>2</v>
      </c>
      <c r="Y351">
        <f t="shared" ca="1" si="11"/>
        <v>2026</v>
      </c>
      <c r="Z351" s="159">
        <f>EOMONTH(data[[#This Row],[Order Date]],0)</f>
        <v>42643</v>
      </c>
      <c r="AA351" s="159" t="str">
        <f>LEFT(data[[#This Row],[Customer Name]],3)</f>
        <v>Ada</v>
      </c>
    </row>
    <row r="352" spans="1:27"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IF(data[[#This Row],[Sales]]&gt;500,"High","Low")</f>
        <v>Low</v>
      </c>
      <c r="W352" s="111">
        <f t="shared" ca="1" si="10"/>
        <v>46152.63727835648</v>
      </c>
      <c r="X352">
        <f>DATEDIF(data[[#This Row],[Order Date]], data[[#This Row],[Ship Date]], "d")</f>
        <v>2</v>
      </c>
      <c r="Y352">
        <f t="shared" ca="1" si="11"/>
        <v>2026</v>
      </c>
      <c r="Z352" s="159">
        <f>EOMONTH(data[[#This Row],[Order Date]],0)</f>
        <v>42643</v>
      </c>
      <c r="AA352" s="159" t="str">
        <f>LEFT(data[[#This Row],[Customer Name]],3)</f>
        <v>Ada</v>
      </c>
    </row>
    <row r="353" spans="1:27"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IF(data[[#This Row],[Sales]]&gt;500,"High","Low")</f>
        <v>Low</v>
      </c>
      <c r="W353" s="111">
        <f t="shared" ca="1" si="10"/>
        <v>46152.63727835648</v>
      </c>
      <c r="X353">
        <f>DATEDIF(data[[#This Row],[Order Date]], data[[#This Row],[Ship Date]], "d")</f>
        <v>2</v>
      </c>
      <c r="Y353">
        <f t="shared" ca="1" si="11"/>
        <v>2026</v>
      </c>
      <c r="Z353" s="159">
        <f>EOMONTH(data[[#This Row],[Order Date]],0)</f>
        <v>42643</v>
      </c>
      <c r="AA353" s="159" t="str">
        <f>LEFT(data[[#This Row],[Customer Name]],3)</f>
        <v>Ada</v>
      </c>
    </row>
    <row r="354" spans="1:27"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IF(data[[#This Row],[Sales]]&gt;500,"High","Low")</f>
        <v>Low</v>
      </c>
      <c r="W354" s="111">
        <f t="shared" ca="1" si="10"/>
        <v>46152.63727835648</v>
      </c>
      <c r="X354">
        <f>DATEDIF(data[[#This Row],[Order Date]], data[[#This Row],[Ship Date]], "d")</f>
        <v>2</v>
      </c>
      <c r="Y354">
        <f t="shared" ca="1" si="11"/>
        <v>2026</v>
      </c>
      <c r="Z354" s="159">
        <f>EOMONTH(data[[#This Row],[Order Date]],0)</f>
        <v>42643</v>
      </c>
      <c r="AA354" s="159" t="str">
        <f>LEFT(data[[#This Row],[Customer Name]],3)</f>
        <v>Ada</v>
      </c>
    </row>
    <row r="355" spans="1:27"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IF(data[[#This Row],[Sales]]&gt;500,"High","Low")</f>
        <v>High</v>
      </c>
      <c r="W355" s="111">
        <f t="shared" ca="1" si="10"/>
        <v>46152.63727835648</v>
      </c>
      <c r="X355">
        <f>DATEDIF(data[[#This Row],[Order Date]], data[[#This Row],[Ship Date]], "d")</f>
        <v>2</v>
      </c>
      <c r="Y355">
        <f t="shared" ca="1" si="11"/>
        <v>2026</v>
      </c>
      <c r="Z355" s="159">
        <f>EOMONTH(data[[#This Row],[Order Date]],0)</f>
        <v>42643</v>
      </c>
      <c r="AA355" s="159" t="str">
        <f>LEFT(data[[#This Row],[Customer Name]],3)</f>
        <v>Ada</v>
      </c>
    </row>
    <row r="356" spans="1:27"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IF(data[[#This Row],[Sales]]&gt;500,"High","Low")</f>
        <v>Low</v>
      </c>
      <c r="W356" s="111">
        <f t="shared" ca="1" si="10"/>
        <v>46152.63727835648</v>
      </c>
      <c r="X356">
        <f>DATEDIF(data[[#This Row],[Order Date]], data[[#This Row],[Ship Date]], "d")</f>
        <v>5</v>
      </c>
      <c r="Y356">
        <f t="shared" ca="1" si="11"/>
        <v>2026</v>
      </c>
      <c r="Z356" s="159">
        <f>EOMONTH(data[[#This Row],[Order Date]],0)</f>
        <v>42490</v>
      </c>
      <c r="AA356" s="159" t="str">
        <f>LEFT(data[[#This Row],[Customer Name]],3)</f>
        <v>Jer</v>
      </c>
    </row>
    <row r="357" spans="1:27"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IF(data[[#This Row],[Sales]]&gt;500,"High","Low")</f>
        <v>Low</v>
      </c>
      <c r="W357" s="111">
        <f t="shared" ca="1" si="10"/>
        <v>46152.63727835648</v>
      </c>
      <c r="X357">
        <f>DATEDIF(data[[#This Row],[Order Date]], data[[#This Row],[Ship Date]], "d")</f>
        <v>5</v>
      </c>
      <c r="Y357">
        <f t="shared" ca="1" si="11"/>
        <v>2026</v>
      </c>
      <c r="Z357" s="159">
        <f>EOMONTH(data[[#This Row],[Order Date]],0)</f>
        <v>42490</v>
      </c>
      <c r="AA357" s="159" t="str">
        <f>LEFT(data[[#This Row],[Customer Name]],3)</f>
        <v>Jer</v>
      </c>
    </row>
    <row r="358" spans="1:27"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IF(data[[#This Row],[Sales]]&gt;500,"High","Low")</f>
        <v>Low</v>
      </c>
      <c r="W358" s="111">
        <f t="shared" ca="1" si="10"/>
        <v>46152.63727835648</v>
      </c>
      <c r="X358">
        <f>DATEDIF(data[[#This Row],[Order Date]], data[[#This Row],[Ship Date]], "d")</f>
        <v>5</v>
      </c>
      <c r="Y358">
        <f t="shared" ca="1" si="11"/>
        <v>2026</v>
      </c>
      <c r="Z358" s="159">
        <f>EOMONTH(data[[#This Row],[Order Date]],0)</f>
        <v>42490</v>
      </c>
      <c r="AA358" s="159" t="str">
        <f>LEFT(data[[#This Row],[Customer Name]],3)</f>
        <v>Jer</v>
      </c>
    </row>
    <row r="359" spans="1:27"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IF(data[[#This Row],[Sales]]&gt;500,"High","Low")</f>
        <v>Low</v>
      </c>
      <c r="W359" s="111">
        <f t="shared" ca="1" si="10"/>
        <v>46152.63727835648</v>
      </c>
      <c r="X359">
        <f>DATEDIF(data[[#This Row],[Order Date]], data[[#This Row],[Ship Date]], "d")</f>
        <v>5</v>
      </c>
      <c r="Y359">
        <f t="shared" ca="1" si="11"/>
        <v>2026</v>
      </c>
      <c r="Z359" s="159">
        <f>EOMONTH(data[[#This Row],[Order Date]],0)</f>
        <v>42490</v>
      </c>
      <c r="AA359" s="159" t="str">
        <f>LEFT(data[[#This Row],[Customer Name]],3)</f>
        <v>Jer</v>
      </c>
    </row>
    <row r="360" spans="1:27"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IF(data[[#This Row],[Sales]]&gt;500,"High","Low")</f>
        <v>Low</v>
      </c>
      <c r="W360" s="111">
        <f t="shared" ca="1" si="10"/>
        <v>46152.63727835648</v>
      </c>
      <c r="X360">
        <f>DATEDIF(data[[#This Row],[Order Date]], data[[#This Row],[Ship Date]], "d")</f>
        <v>5</v>
      </c>
      <c r="Y360">
        <f t="shared" ca="1" si="11"/>
        <v>2026</v>
      </c>
      <c r="Z360" s="159">
        <f>EOMONTH(data[[#This Row],[Order Date]],0)</f>
        <v>42490</v>
      </c>
      <c r="AA360" s="159" t="str">
        <f>LEFT(data[[#This Row],[Customer Name]],3)</f>
        <v>Hea</v>
      </c>
    </row>
    <row r="361" spans="1:27"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IF(data[[#This Row],[Sales]]&gt;500,"High","Low")</f>
        <v>High</v>
      </c>
      <c r="W361" s="111">
        <f t="shared" ca="1" si="10"/>
        <v>46152.63727835648</v>
      </c>
      <c r="X361">
        <f>DATEDIF(data[[#This Row],[Order Date]], data[[#This Row],[Ship Date]], "d")</f>
        <v>3</v>
      </c>
      <c r="Y361">
        <f t="shared" ca="1" si="11"/>
        <v>2026</v>
      </c>
      <c r="Z361" s="159">
        <f>EOMONTH(data[[#This Row],[Order Date]],0)</f>
        <v>42825</v>
      </c>
      <c r="AA361" s="159" t="str">
        <f>LEFT(data[[#This Row],[Customer Name]],3)</f>
        <v>Vic</v>
      </c>
    </row>
    <row r="362" spans="1:27"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IF(data[[#This Row],[Sales]]&gt;500,"High","Low")</f>
        <v>Low</v>
      </c>
      <c r="W362" s="111">
        <f t="shared" ca="1" si="10"/>
        <v>46152.63727835648</v>
      </c>
      <c r="X362">
        <f>DATEDIF(data[[#This Row],[Order Date]], data[[#This Row],[Ship Date]], "d")</f>
        <v>3</v>
      </c>
      <c r="Y362">
        <f t="shared" ca="1" si="11"/>
        <v>2026</v>
      </c>
      <c r="Z362" s="159">
        <f>EOMONTH(data[[#This Row],[Order Date]],0)</f>
        <v>42825</v>
      </c>
      <c r="AA362" s="159" t="str">
        <f>LEFT(data[[#This Row],[Customer Name]],3)</f>
        <v>Vic</v>
      </c>
    </row>
    <row r="363" spans="1:27"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IF(data[[#This Row],[Sales]]&gt;500,"High","Low")</f>
        <v>Low</v>
      </c>
      <c r="W363" s="111">
        <f t="shared" ca="1" si="10"/>
        <v>46152.63727835648</v>
      </c>
      <c r="X363">
        <f>DATEDIF(data[[#This Row],[Order Date]], data[[#This Row],[Ship Date]], "d")</f>
        <v>6</v>
      </c>
      <c r="Y363">
        <f t="shared" ca="1" si="11"/>
        <v>2026</v>
      </c>
      <c r="Z363" s="159">
        <f>EOMONTH(data[[#This Row],[Order Date]],0)</f>
        <v>43008</v>
      </c>
      <c r="AA363" s="159" t="str">
        <f>LEFT(data[[#This Row],[Customer Name]],3)</f>
        <v>Kat</v>
      </c>
    </row>
    <row r="364" spans="1:27"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IF(data[[#This Row],[Sales]]&gt;500,"High","Low")</f>
        <v>Low</v>
      </c>
      <c r="W364" s="111">
        <f t="shared" ca="1" si="10"/>
        <v>46152.63727835648</v>
      </c>
      <c r="X364">
        <f>DATEDIF(data[[#This Row],[Order Date]], data[[#This Row],[Ship Date]], "d")</f>
        <v>6</v>
      </c>
      <c r="Y364">
        <f t="shared" ca="1" si="11"/>
        <v>2026</v>
      </c>
      <c r="Z364" s="159">
        <f>EOMONTH(data[[#This Row],[Order Date]],0)</f>
        <v>43008</v>
      </c>
      <c r="AA364" s="159" t="str">
        <f>LEFT(data[[#This Row],[Customer Name]],3)</f>
        <v>Kat</v>
      </c>
    </row>
    <row r="365" spans="1:27"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IF(data[[#This Row],[Sales]]&gt;500,"High","Low")</f>
        <v>Low</v>
      </c>
      <c r="W365" s="111">
        <f t="shared" ca="1" si="10"/>
        <v>46152.63727835648</v>
      </c>
      <c r="X365">
        <f>DATEDIF(data[[#This Row],[Order Date]], data[[#This Row],[Ship Date]], "d")</f>
        <v>6</v>
      </c>
      <c r="Y365">
        <f t="shared" ca="1" si="11"/>
        <v>2026</v>
      </c>
      <c r="Z365" s="159">
        <f>EOMONTH(data[[#This Row],[Order Date]],0)</f>
        <v>43008</v>
      </c>
      <c r="AA365" s="159" t="str">
        <f>LEFT(data[[#This Row],[Customer Name]],3)</f>
        <v>Kat</v>
      </c>
    </row>
    <row r="366" spans="1:27"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IF(data[[#This Row],[Sales]]&gt;500,"High","Low")</f>
        <v>Low</v>
      </c>
      <c r="W366" s="111">
        <f t="shared" ca="1" si="10"/>
        <v>46152.63727835648</v>
      </c>
      <c r="X366">
        <f>DATEDIF(data[[#This Row],[Order Date]], data[[#This Row],[Ship Date]], "d")</f>
        <v>6</v>
      </c>
      <c r="Y366">
        <f t="shared" ca="1" si="11"/>
        <v>2026</v>
      </c>
      <c r="Z366" s="159">
        <f>EOMONTH(data[[#This Row],[Order Date]],0)</f>
        <v>43008</v>
      </c>
      <c r="AA366" s="159" t="str">
        <f>LEFT(data[[#This Row],[Customer Name]],3)</f>
        <v>Kat</v>
      </c>
    </row>
    <row r="367" spans="1:27"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IF(data[[#This Row],[Sales]]&gt;500,"High","Low")</f>
        <v>Low</v>
      </c>
      <c r="W367" s="111">
        <f t="shared" ca="1" si="10"/>
        <v>46152.63727835648</v>
      </c>
      <c r="X367">
        <f>DATEDIF(data[[#This Row],[Order Date]], data[[#This Row],[Ship Date]], "d")</f>
        <v>5</v>
      </c>
      <c r="Y367">
        <f t="shared" ca="1" si="11"/>
        <v>2026</v>
      </c>
      <c r="Z367" s="159">
        <f>EOMONTH(data[[#This Row],[Order Date]],0)</f>
        <v>41912</v>
      </c>
      <c r="AA367" s="159" t="str">
        <f>LEFT(data[[#This Row],[Customer Name]],3)</f>
        <v>Jul</v>
      </c>
    </row>
    <row r="368" spans="1:27"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IF(data[[#This Row],[Sales]]&gt;500,"High","Low")</f>
        <v>Low</v>
      </c>
      <c r="W368" s="111">
        <f t="shared" ca="1" si="10"/>
        <v>46152.63727835648</v>
      </c>
      <c r="X368">
        <f>DATEDIF(data[[#This Row],[Order Date]], data[[#This Row],[Ship Date]], "d")</f>
        <v>0</v>
      </c>
      <c r="Y368">
        <f t="shared" ca="1" si="11"/>
        <v>2026</v>
      </c>
      <c r="Z368" s="159">
        <f>EOMONTH(data[[#This Row],[Order Date]],0)</f>
        <v>42674</v>
      </c>
      <c r="AA368" s="159" t="str">
        <f>LEFT(data[[#This Row],[Customer Name]],3)</f>
        <v>Mic</v>
      </c>
    </row>
    <row r="369" spans="1:27"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IF(data[[#This Row],[Sales]]&gt;500,"High","Low")</f>
        <v>Low</v>
      </c>
      <c r="W369" s="111">
        <f t="shared" ca="1" si="10"/>
        <v>46152.63727835648</v>
      </c>
      <c r="X369">
        <f>DATEDIF(data[[#This Row],[Order Date]], data[[#This Row],[Ship Date]], "d")</f>
        <v>0</v>
      </c>
      <c r="Y369">
        <f t="shared" ca="1" si="11"/>
        <v>2026</v>
      </c>
      <c r="Z369" s="159">
        <f>EOMONTH(data[[#This Row],[Order Date]],0)</f>
        <v>42674</v>
      </c>
      <c r="AA369" s="159" t="str">
        <f>LEFT(data[[#This Row],[Customer Name]],3)</f>
        <v>Mic</v>
      </c>
    </row>
    <row r="370" spans="1:27"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IF(data[[#This Row],[Sales]]&gt;500,"High","Low")</f>
        <v>Low</v>
      </c>
      <c r="W370" s="111">
        <f t="shared" ca="1" si="10"/>
        <v>46152.63727835648</v>
      </c>
      <c r="X370">
        <f>DATEDIF(data[[#This Row],[Order Date]], data[[#This Row],[Ship Date]], "d")</f>
        <v>0</v>
      </c>
      <c r="Y370">
        <f t="shared" ca="1" si="11"/>
        <v>2026</v>
      </c>
      <c r="Z370" s="159">
        <f>EOMONTH(data[[#This Row],[Order Date]],0)</f>
        <v>42674</v>
      </c>
      <c r="AA370" s="159" t="str">
        <f>LEFT(data[[#This Row],[Customer Name]],3)</f>
        <v>Mic</v>
      </c>
    </row>
    <row r="371" spans="1:27"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IF(data[[#This Row],[Sales]]&gt;500,"High","Low")</f>
        <v>High</v>
      </c>
      <c r="W371" s="111">
        <f t="shared" ca="1" si="10"/>
        <v>46152.63727835648</v>
      </c>
      <c r="X371">
        <f>DATEDIF(data[[#This Row],[Order Date]], data[[#This Row],[Ship Date]], "d")</f>
        <v>0</v>
      </c>
      <c r="Y371">
        <f t="shared" ca="1" si="11"/>
        <v>2026</v>
      </c>
      <c r="Z371" s="159">
        <f>EOMONTH(data[[#This Row],[Order Date]],0)</f>
        <v>42674</v>
      </c>
      <c r="AA371" s="159" t="str">
        <f>LEFT(data[[#This Row],[Customer Name]],3)</f>
        <v>Mic</v>
      </c>
    </row>
    <row r="372" spans="1:27"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IF(data[[#This Row],[Sales]]&gt;500,"High","Low")</f>
        <v>Low</v>
      </c>
      <c r="W372" s="111">
        <f t="shared" ca="1" si="10"/>
        <v>46152.63727835648</v>
      </c>
      <c r="X372">
        <f>DATEDIF(data[[#This Row],[Order Date]], data[[#This Row],[Ship Date]], "d")</f>
        <v>6</v>
      </c>
      <c r="Y372">
        <f t="shared" ca="1" si="11"/>
        <v>2026</v>
      </c>
      <c r="Z372" s="159">
        <f>EOMONTH(data[[#This Row],[Order Date]],0)</f>
        <v>42886</v>
      </c>
      <c r="AA372" s="159" t="str">
        <f>LEFT(data[[#This Row],[Customer Name]],3)</f>
        <v>Guy</v>
      </c>
    </row>
    <row r="373" spans="1:27"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IF(data[[#This Row],[Sales]]&gt;500,"High","Low")</f>
        <v>Low</v>
      </c>
      <c r="W373" s="111">
        <f t="shared" ca="1" si="10"/>
        <v>46152.63727835648</v>
      </c>
      <c r="X373">
        <f>DATEDIF(data[[#This Row],[Order Date]], data[[#This Row],[Ship Date]], "d")</f>
        <v>6</v>
      </c>
      <c r="Y373">
        <f t="shared" ca="1" si="11"/>
        <v>2026</v>
      </c>
      <c r="Z373" s="159">
        <f>EOMONTH(data[[#This Row],[Order Date]],0)</f>
        <v>42886</v>
      </c>
      <c r="AA373" s="159" t="str">
        <f>LEFT(data[[#This Row],[Customer Name]],3)</f>
        <v>Guy</v>
      </c>
    </row>
    <row r="374" spans="1:27"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IF(data[[#This Row],[Sales]]&gt;500,"High","Low")</f>
        <v>Low</v>
      </c>
      <c r="W374" s="111">
        <f t="shared" ca="1" si="10"/>
        <v>46152.63727835648</v>
      </c>
      <c r="X374">
        <f>DATEDIF(data[[#This Row],[Order Date]], data[[#This Row],[Ship Date]], "d")</f>
        <v>4</v>
      </c>
      <c r="Y374">
        <f t="shared" ca="1" si="11"/>
        <v>2026</v>
      </c>
      <c r="Z374" s="159">
        <f>EOMONTH(data[[#This Row],[Order Date]],0)</f>
        <v>41851</v>
      </c>
      <c r="AA374" s="159" t="str">
        <f>LEFT(data[[#This Row],[Customer Name]],3)</f>
        <v>Art</v>
      </c>
    </row>
    <row r="375" spans="1:27"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IF(data[[#This Row],[Sales]]&gt;500,"High","Low")</f>
        <v>High</v>
      </c>
      <c r="W375" s="111">
        <f t="shared" ca="1" si="10"/>
        <v>46152.63727835648</v>
      </c>
      <c r="X375">
        <f>DATEDIF(data[[#This Row],[Order Date]], data[[#This Row],[Ship Date]], "d")</f>
        <v>4</v>
      </c>
      <c r="Y375">
        <f t="shared" ca="1" si="11"/>
        <v>2026</v>
      </c>
      <c r="Z375" s="159">
        <f>EOMONTH(data[[#This Row],[Order Date]],0)</f>
        <v>41851</v>
      </c>
      <c r="AA375" s="159" t="str">
        <f>LEFT(data[[#This Row],[Customer Name]],3)</f>
        <v>Art</v>
      </c>
    </row>
    <row r="376" spans="1:27"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IF(data[[#This Row],[Sales]]&gt;500,"High","Low")</f>
        <v>Low</v>
      </c>
      <c r="W376" s="111">
        <f t="shared" ca="1" si="10"/>
        <v>46152.63727835648</v>
      </c>
      <c r="X376">
        <f>DATEDIF(data[[#This Row],[Order Date]], data[[#This Row],[Ship Date]], "d")</f>
        <v>4</v>
      </c>
      <c r="Y376">
        <f t="shared" ca="1" si="11"/>
        <v>2026</v>
      </c>
      <c r="Z376" s="159">
        <f>EOMONTH(data[[#This Row],[Order Date]],0)</f>
        <v>41851</v>
      </c>
      <c r="AA376" s="159" t="str">
        <f>LEFT(data[[#This Row],[Customer Name]],3)</f>
        <v>Art</v>
      </c>
    </row>
    <row r="377" spans="1:27"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IF(data[[#This Row],[Sales]]&gt;500,"High","Low")</f>
        <v>Low</v>
      </c>
      <c r="W377" s="111">
        <f t="shared" ca="1" si="10"/>
        <v>46152.63727835648</v>
      </c>
      <c r="X377">
        <f>DATEDIF(data[[#This Row],[Order Date]], data[[#This Row],[Ship Date]], "d")</f>
        <v>4</v>
      </c>
      <c r="Y377">
        <f t="shared" ca="1" si="11"/>
        <v>2026</v>
      </c>
      <c r="Z377" s="159">
        <f>EOMONTH(data[[#This Row],[Order Date]],0)</f>
        <v>41851</v>
      </c>
      <c r="AA377" s="159" t="str">
        <f>LEFT(data[[#This Row],[Customer Name]],3)</f>
        <v>Art</v>
      </c>
    </row>
    <row r="378" spans="1:27"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IF(data[[#This Row],[Sales]]&gt;500,"High","Low")</f>
        <v>Low</v>
      </c>
      <c r="W378" s="111">
        <f t="shared" ca="1" si="10"/>
        <v>46152.63727835648</v>
      </c>
      <c r="X378">
        <f>DATEDIF(data[[#This Row],[Order Date]], data[[#This Row],[Ship Date]], "d")</f>
        <v>3</v>
      </c>
      <c r="Y378">
        <f t="shared" ca="1" si="11"/>
        <v>2026</v>
      </c>
      <c r="Z378" s="159">
        <f>EOMONTH(data[[#This Row],[Order Date]],0)</f>
        <v>42643</v>
      </c>
      <c r="AA378" s="159" t="str">
        <f>LEFT(data[[#This Row],[Customer Name]],3)</f>
        <v>Muh</v>
      </c>
    </row>
    <row r="379" spans="1:27"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IF(data[[#This Row],[Sales]]&gt;500,"High","Low")</f>
        <v>High</v>
      </c>
      <c r="W379" s="111">
        <f t="shared" ca="1" si="10"/>
        <v>46152.63727835648</v>
      </c>
      <c r="X379">
        <f>DATEDIF(data[[#This Row],[Order Date]], data[[#This Row],[Ship Date]], "d")</f>
        <v>5</v>
      </c>
      <c r="Y379">
        <f t="shared" ca="1" si="11"/>
        <v>2026</v>
      </c>
      <c r="Z379" s="159">
        <f>EOMONTH(data[[#This Row],[Order Date]],0)</f>
        <v>42978</v>
      </c>
      <c r="AA379" s="159" t="str">
        <f>LEFT(data[[#This Row],[Customer Name]],3)</f>
        <v>All</v>
      </c>
    </row>
    <row r="380" spans="1:27"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IF(data[[#This Row],[Sales]]&gt;500,"High","Low")</f>
        <v>Low</v>
      </c>
      <c r="W380" s="111">
        <f t="shared" ca="1" si="10"/>
        <v>46152.63727835648</v>
      </c>
      <c r="X380">
        <f>DATEDIF(data[[#This Row],[Order Date]], data[[#This Row],[Ship Date]], "d")</f>
        <v>7</v>
      </c>
      <c r="Y380">
        <f t="shared" ca="1" si="11"/>
        <v>2026</v>
      </c>
      <c r="Z380" s="159">
        <f>EOMONTH(data[[#This Row],[Order Date]],0)</f>
        <v>42124</v>
      </c>
      <c r="AA380" s="159" t="str">
        <f>LEFT(data[[#This Row],[Customer Name]],3)</f>
        <v>Rus</v>
      </c>
    </row>
    <row r="381" spans="1:27"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IF(data[[#This Row],[Sales]]&gt;500,"High","Low")</f>
        <v>Low</v>
      </c>
      <c r="W381" s="111">
        <f t="shared" ca="1" si="10"/>
        <v>46152.63727835648</v>
      </c>
      <c r="X381">
        <f>DATEDIF(data[[#This Row],[Order Date]], data[[#This Row],[Ship Date]], "d")</f>
        <v>7</v>
      </c>
      <c r="Y381">
        <f t="shared" ca="1" si="11"/>
        <v>2026</v>
      </c>
      <c r="Z381" s="159">
        <f>EOMONTH(data[[#This Row],[Order Date]],0)</f>
        <v>42124</v>
      </c>
      <c r="AA381" s="159" t="str">
        <f>LEFT(data[[#This Row],[Customer Name]],3)</f>
        <v>Rus</v>
      </c>
    </row>
    <row r="382" spans="1:27"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IF(data[[#This Row],[Sales]]&gt;500,"High","Low")</f>
        <v>Low</v>
      </c>
      <c r="W382" s="111">
        <f t="shared" ca="1" si="10"/>
        <v>46152.63727835648</v>
      </c>
      <c r="X382">
        <f>DATEDIF(data[[#This Row],[Order Date]], data[[#This Row],[Ship Date]], "d")</f>
        <v>7</v>
      </c>
      <c r="Y382">
        <f t="shared" ca="1" si="11"/>
        <v>2026</v>
      </c>
      <c r="Z382" s="159">
        <f>EOMONTH(data[[#This Row],[Order Date]],0)</f>
        <v>42124</v>
      </c>
      <c r="AA382" s="159" t="str">
        <f>LEFT(data[[#This Row],[Customer Name]],3)</f>
        <v>Rus</v>
      </c>
    </row>
    <row r="383" spans="1:27"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IF(data[[#This Row],[Sales]]&gt;500,"High","Low")</f>
        <v>Low</v>
      </c>
      <c r="W383" s="111">
        <f t="shared" ca="1" si="10"/>
        <v>46152.63727835648</v>
      </c>
      <c r="X383">
        <f>DATEDIF(data[[#This Row],[Order Date]], data[[#This Row],[Ship Date]], "d")</f>
        <v>1</v>
      </c>
      <c r="Y383">
        <f t="shared" ca="1" si="11"/>
        <v>2026</v>
      </c>
      <c r="Z383" s="159">
        <f>EOMONTH(data[[#This Row],[Order Date]],0)</f>
        <v>42674</v>
      </c>
      <c r="AA383" s="159" t="str">
        <f>LEFT(data[[#This Row],[Customer Name]],3)</f>
        <v>Ale</v>
      </c>
    </row>
    <row r="384" spans="1:27"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IF(data[[#This Row],[Sales]]&gt;500,"High","Low")</f>
        <v>Low</v>
      </c>
      <c r="W384" s="111">
        <f t="shared" ca="1" si="10"/>
        <v>46152.63727835648</v>
      </c>
      <c r="X384">
        <f>DATEDIF(data[[#This Row],[Order Date]], data[[#This Row],[Ship Date]], "d")</f>
        <v>1</v>
      </c>
      <c r="Y384">
        <f t="shared" ca="1" si="11"/>
        <v>2026</v>
      </c>
      <c r="Z384" s="159">
        <f>EOMONTH(data[[#This Row],[Order Date]],0)</f>
        <v>42674</v>
      </c>
      <c r="AA384" s="159" t="str">
        <f>LEFT(data[[#This Row],[Customer Name]],3)</f>
        <v>Ale</v>
      </c>
    </row>
    <row r="385" spans="1:27"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IF(data[[#This Row],[Sales]]&gt;500,"High","Low")</f>
        <v>Low</v>
      </c>
      <c r="W385" s="111">
        <f t="shared" ca="1" si="10"/>
        <v>46152.63727835648</v>
      </c>
      <c r="X385">
        <f>DATEDIF(data[[#This Row],[Order Date]], data[[#This Row],[Ship Date]], "d")</f>
        <v>3</v>
      </c>
      <c r="Y385">
        <f t="shared" ca="1" si="11"/>
        <v>2026</v>
      </c>
      <c r="Z385" s="159">
        <f>EOMONTH(data[[#This Row],[Order Date]],0)</f>
        <v>42185</v>
      </c>
      <c r="AA385" s="159" t="str">
        <f>LEFT(data[[#This Row],[Customer Name]],3)</f>
        <v>Lau</v>
      </c>
    </row>
    <row r="386" spans="1:27"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IF(data[[#This Row],[Sales]]&gt;500,"High","Low")</f>
        <v>Low</v>
      </c>
      <c r="W386" s="111">
        <f t="shared" ref="W386:W449" ca="1" si="12">NOW()</f>
        <v>46152.63727835648</v>
      </c>
      <c r="X386">
        <f>DATEDIF(data[[#This Row],[Order Date]], data[[#This Row],[Ship Date]], "d")</f>
        <v>5</v>
      </c>
      <c r="Y386">
        <f t="shared" ref="Y386:Y449" ca="1" si="13">YEAR(TODAY())</f>
        <v>2026</v>
      </c>
      <c r="Z386" s="159">
        <f>EOMONTH(data[[#This Row],[Order Date]],0)</f>
        <v>42338</v>
      </c>
      <c r="AA386" s="159" t="str">
        <f>LEFT(data[[#This Row],[Customer Name]],3)</f>
        <v>Den</v>
      </c>
    </row>
    <row r="387" spans="1:27"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IF(data[[#This Row],[Sales]]&gt;500,"High","Low")</f>
        <v>Low</v>
      </c>
      <c r="W387" s="111">
        <f t="shared" ca="1" si="12"/>
        <v>46152.63727835648</v>
      </c>
      <c r="X387">
        <f>DATEDIF(data[[#This Row],[Order Date]], data[[#This Row],[Ship Date]], "d")</f>
        <v>5</v>
      </c>
      <c r="Y387">
        <f t="shared" ca="1" si="13"/>
        <v>2026</v>
      </c>
      <c r="Z387" s="159">
        <f>EOMONTH(data[[#This Row],[Order Date]],0)</f>
        <v>42338</v>
      </c>
      <c r="AA387" s="159" t="str">
        <f>LEFT(data[[#This Row],[Customer Name]],3)</f>
        <v>Den</v>
      </c>
    </row>
    <row r="388" spans="1:27"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IF(data[[#This Row],[Sales]]&gt;500,"High","Low")</f>
        <v>Low</v>
      </c>
      <c r="W388" s="111">
        <f t="shared" ca="1" si="12"/>
        <v>46152.63727835648</v>
      </c>
      <c r="X388">
        <f>DATEDIF(data[[#This Row],[Order Date]], data[[#This Row],[Ship Date]], "d")</f>
        <v>4</v>
      </c>
      <c r="Y388">
        <f t="shared" ca="1" si="13"/>
        <v>2026</v>
      </c>
      <c r="Z388" s="159">
        <f>EOMONTH(data[[#This Row],[Order Date]],0)</f>
        <v>42369</v>
      </c>
      <c r="AA388" s="159" t="str">
        <f>LEFT(data[[#This Row],[Customer Name]],3)</f>
        <v>Dea</v>
      </c>
    </row>
    <row r="389" spans="1:27"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IF(data[[#This Row],[Sales]]&gt;500,"High","Low")</f>
        <v>Low</v>
      </c>
      <c r="W389" s="111">
        <f t="shared" ca="1" si="12"/>
        <v>46152.63727835648</v>
      </c>
      <c r="X389">
        <f>DATEDIF(data[[#This Row],[Order Date]], data[[#This Row],[Ship Date]], "d")</f>
        <v>4</v>
      </c>
      <c r="Y389">
        <f t="shared" ca="1" si="13"/>
        <v>2026</v>
      </c>
      <c r="Z389" s="159">
        <f>EOMONTH(data[[#This Row],[Order Date]],0)</f>
        <v>42369</v>
      </c>
      <c r="AA389" s="159" t="str">
        <f>LEFT(data[[#This Row],[Customer Name]],3)</f>
        <v>Dea</v>
      </c>
    </row>
    <row r="390" spans="1:27"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IF(data[[#This Row],[Sales]]&gt;500,"High","Low")</f>
        <v>Low</v>
      </c>
      <c r="W390" s="111">
        <f t="shared" ca="1" si="12"/>
        <v>46152.63727835648</v>
      </c>
      <c r="X390">
        <f>DATEDIF(data[[#This Row],[Order Date]], data[[#This Row],[Ship Date]], "d")</f>
        <v>2</v>
      </c>
      <c r="Y390">
        <f t="shared" ca="1" si="13"/>
        <v>2026</v>
      </c>
      <c r="Z390" s="159">
        <f>EOMONTH(data[[#This Row],[Order Date]],0)</f>
        <v>41973</v>
      </c>
      <c r="AA390" s="159" t="str">
        <f>LEFT(data[[#This Row],[Customer Name]],3)</f>
        <v>Nat</v>
      </c>
    </row>
    <row r="391" spans="1:27"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IF(data[[#This Row],[Sales]]&gt;500,"High","Low")</f>
        <v>Low</v>
      </c>
      <c r="W391" s="111">
        <f t="shared" ca="1" si="12"/>
        <v>46152.63727835648</v>
      </c>
      <c r="X391">
        <f>DATEDIF(data[[#This Row],[Order Date]], data[[#This Row],[Ship Date]], "d")</f>
        <v>4</v>
      </c>
      <c r="Y391">
        <f t="shared" ca="1" si="13"/>
        <v>2026</v>
      </c>
      <c r="Z391" s="159">
        <f>EOMONTH(data[[#This Row],[Order Date]],0)</f>
        <v>43100</v>
      </c>
      <c r="AA391" s="159" t="str">
        <f>LEFT(data[[#This Row],[Customer Name]],3)</f>
        <v>Mik</v>
      </c>
    </row>
    <row r="392" spans="1:27"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IF(data[[#This Row],[Sales]]&gt;500,"High","Low")</f>
        <v>Low</v>
      </c>
      <c r="W392" s="111">
        <f t="shared" ca="1" si="12"/>
        <v>46152.63727835648</v>
      </c>
      <c r="X392">
        <f>DATEDIF(data[[#This Row],[Order Date]], data[[#This Row],[Ship Date]], "d")</f>
        <v>4</v>
      </c>
      <c r="Y392">
        <f t="shared" ca="1" si="13"/>
        <v>2026</v>
      </c>
      <c r="Z392" s="159">
        <f>EOMONTH(data[[#This Row],[Order Date]],0)</f>
        <v>43100</v>
      </c>
      <c r="AA392" s="159" t="str">
        <f>LEFT(data[[#This Row],[Customer Name]],3)</f>
        <v>Mik</v>
      </c>
    </row>
    <row r="393" spans="1:27"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IF(data[[#This Row],[Sales]]&gt;500,"High","Low")</f>
        <v>Low</v>
      </c>
      <c r="W393" s="111">
        <f t="shared" ca="1" si="12"/>
        <v>46152.63727835648</v>
      </c>
      <c r="X393">
        <f>DATEDIF(data[[#This Row],[Order Date]], data[[#This Row],[Ship Date]], "d")</f>
        <v>2</v>
      </c>
      <c r="Y393">
        <f t="shared" ca="1" si="13"/>
        <v>2026</v>
      </c>
      <c r="Z393" s="159">
        <f>EOMONTH(data[[#This Row],[Order Date]],0)</f>
        <v>41912</v>
      </c>
      <c r="AA393" s="159" t="str">
        <f>LEFT(data[[#This Row],[Customer Name]],3)</f>
        <v>Jac</v>
      </c>
    </row>
    <row r="394" spans="1:27"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IF(data[[#This Row],[Sales]]&gt;500,"High","Low")</f>
        <v>High</v>
      </c>
      <c r="W394" s="111">
        <f t="shared" ca="1" si="12"/>
        <v>46152.63727835648</v>
      </c>
      <c r="X394">
        <f>DATEDIF(data[[#This Row],[Order Date]], data[[#This Row],[Ship Date]], "d")</f>
        <v>2</v>
      </c>
      <c r="Y394">
        <f t="shared" ca="1" si="13"/>
        <v>2026</v>
      </c>
      <c r="Z394" s="159">
        <f>EOMONTH(data[[#This Row],[Order Date]],0)</f>
        <v>41912</v>
      </c>
      <c r="AA394" s="159" t="str">
        <f>LEFT(data[[#This Row],[Customer Name]],3)</f>
        <v>Jac</v>
      </c>
    </row>
    <row r="395" spans="1:27"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IF(data[[#This Row],[Sales]]&gt;500,"High","Low")</f>
        <v>Low</v>
      </c>
      <c r="W395" s="111">
        <f t="shared" ca="1" si="12"/>
        <v>46152.63727835648</v>
      </c>
      <c r="X395">
        <f>DATEDIF(data[[#This Row],[Order Date]], data[[#This Row],[Ship Date]], "d")</f>
        <v>3</v>
      </c>
      <c r="Y395">
        <f t="shared" ca="1" si="13"/>
        <v>2026</v>
      </c>
      <c r="Z395" s="159">
        <f>EOMONTH(data[[#This Row],[Order Date]],0)</f>
        <v>41820</v>
      </c>
      <c r="AA395" s="159" t="str">
        <f>LEFT(data[[#This Row],[Customer Name]],3)</f>
        <v>Bar</v>
      </c>
    </row>
    <row r="396" spans="1:27"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IF(data[[#This Row],[Sales]]&gt;500,"High","Low")</f>
        <v>Low</v>
      </c>
      <c r="W396" s="111">
        <f t="shared" ca="1" si="12"/>
        <v>46152.63727835648</v>
      </c>
      <c r="X396">
        <f>DATEDIF(data[[#This Row],[Order Date]], data[[#This Row],[Ship Date]], "d")</f>
        <v>5</v>
      </c>
      <c r="Y396">
        <f t="shared" ca="1" si="13"/>
        <v>2026</v>
      </c>
      <c r="Z396" s="159">
        <f>EOMONTH(data[[#This Row],[Order Date]],0)</f>
        <v>42916</v>
      </c>
      <c r="AA396" s="159" t="str">
        <f>LEFT(data[[#This Row],[Customer Name]],3)</f>
        <v>Vic</v>
      </c>
    </row>
    <row r="397" spans="1:27"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IF(data[[#This Row],[Sales]]&gt;500,"High","Low")</f>
        <v>Low</v>
      </c>
      <c r="W397" s="111">
        <f t="shared" ca="1" si="12"/>
        <v>46152.63727835648</v>
      </c>
      <c r="X397">
        <f>DATEDIF(data[[#This Row],[Order Date]], data[[#This Row],[Ship Date]], "d")</f>
        <v>2</v>
      </c>
      <c r="Y397">
        <f t="shared" ca="1" si="13"/>
        <v>2026</v>
      </c>
      <c r="Z397" s="159">
        <f>EOMONTH(data[[#This Row],[Order Date]],0)</f>
        <v>43039</v>
      </c>
      <c r="AA397" s="159" t="str">
        <f>LEFT(data[[#This Row],[Customer Name]],3)</f>
        <v>Sap</v>
      </c>
    </row>
    <row r="398" spans="1:27"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IF(data[[#This Row],[Sales]]&gt;500,"High","Low")</f>
        <v>Low</v>
      </c>
      <c r="W398" s="111">
        <f t="shared" ca="1" si="12"/>
        <v>46152.63727835648</v>
      </c>
      <c r="X398">
        <f>DATEDIF(data[[#This Row],[Order Date]], data[[#This Row],[Ship Date]], "d")</f>
        <v>2</v>
      </c>
      <c r="Y398">
        <f t="shared" ca="1" si="13"/>
        <v>2026</v>
      </c>
      <c r="Z398" s="159">
        <f>EOMONTH(data[[#This Row],[Order Date]],0)</f>
        <v>43039</v>
      </c>
      <c r="AA398" s="159" t="str">
        <f>LEFT(data[[#This Row],[Customer Name]],3)</f>
        <v>Sap</v>
      </c>
    </row>
    <row r="399" spans="1:27"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IF(data[[#This Row],[Sales]]&gt;500,"High","Low")</f>
        <v>Low</v>
      </c>
      <c r="W399" s="111">
        <f t="shared" ca="1" si="12"/>
        <v>46152.63727835648</v>
      </c>
      <c r="X399">
        <f>DATEDIF(data[[#This Row],[Order Date]], data[[#This Row],[Ship Date]], "d")</f>
        <v>4</v>
      </c>
      <c r="Y399">
        <f t="shared" ca="1" si="13"/>
        <v>2026</v>
      </c>
      <c r="Z399" s="159">
        <f>EOMONTH(data[[#This Row],[Order Date]],0)</f>
        <v>42308</v>
      </c>
      <c r="AA399" s="159" t="str">
        <f>LEFT(data[[#This Row],[Customer Name]],3)</f>
        <v>Har</v>
      </c>
    </row>
    <row r="400" spans="1:27"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IF(data[[#This Row],[Sales]]&gt;500,"High","Low")</f>
        <v>Low</v>
      </c>
      <c r="W400" s="111">
        <f t="shared" ca="1" si="12"/>
        <v>46152.63727835648</v>
      </c>
      <c r="X400">
        <f>DATEDIF(data[[#This Row],[Order Date]], data[[#This Row],[Ship Date]], "d")</f>
        <v>2</v>
      </c>
      <c r="Y400">
        <f t="shared" ca="1" si="13"/>
        <v>2026</v>
      </c>
      <c r="Z400" s="159">
        <f>EOMONTH(data[[#This Row],[Order Date]],0)</f>
        <v>42643</v>
      </c>
      <c r="AA400" s="159" t="str">
        <f>LEFT(data[[#This Row],[Customer Name]],3)</f>
        <v>Ann</v>
      </c>
    </row>
    <row r="401" spans="1:27"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IF(data[[#This Row],[Sales]]&gt;500,"High","Low")</f>
        <v>High</v>
      </c>
      <c r="W401" s="111">
        <f t="shared" ca="1" si="12"/>
        <v>46152.63727835648</v>
      </c>
      <c r="X401">
        <f>DATEDIF(data[[#This Row],[Order Date]], data[[#This Row],[Ship Date]], "d")</f>
        <v>2</v>
      </c>
      <c r="Y401">
        <f t="shared" ca="1" si="13"/>
        <v>2026</v>
      </c>
      <c r="Z401" s="159">
        <f>EOMONTH(data[[#This Row],[Order Date]],0)</f>
        <v>42643</v>
      </c>
      <c r="AA401" s="159" t="str">
        <f>LEFT(data[[#This Row],[Customer Name]],3)</f>
        <v>Ann</v>
      </c>
    </row>
    <row r="402" spans="1:27"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IF(data[[#This Row],[Sales]]&gt;500,"High","Low")</f>
        <v>Low</v>
      </c>
      <c r="W402" s="111">
        <f t="shared" ca="1" si="12"/>
        <v>46152.63727835648</v>
      </c>
      <c r="X402">
        <f>DATEDIF(data[[#This Row],[Order Date]], data[[#This Row],[Ship Date]], "d")</f>
        <v>2</v>
      </c>
      <c r="Y402">
        <f t="shared" ca="1" si="13"/>
        <v>2026</v>
      </c>
      <c r="Z402" s="159">
        <f>EOMONTH(data[[#This Row],[Order Date]],0)</f>
        <v>42643</v>
      </c>
      <c r="AA402" s="159" t="str">
        <f>LEFT(data[[#This Row],[Customer Name]],3)</f>
        <v>Ann</v>
      </c>
    </row>
    <row r="403" spans="1:27"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IF(data[[#This Row],[Sales]]&gt;500,"High","Low")</f>
        <v>Low</v>
      </c>
      <c r="W403" s="111">
        <f t="shared" ca="1" si="12"/>
        <v>46152.63727835648</v>
      </c>
      <c r="X403">
        <f>DATEDIF(data[[#This Row],[Order Date]], data[[#This Row],[Ship Date]], "d")</f>
        <v>2</v>
      </c>
      <c r="Y403">
        <f t="shared" ca="1" si="13"/>
        <v>2026</v>
      </c>
      <c r="Z403" s="159">
        <f>EOMONTH(data[[#This Row],[Order Date]],0)</f>
        <v>42643</v>
      </c>
      <c r="AA403" s="159" t="str">
        <f>LEFT(data[[#This Row],[Customer Name]],3)</f>
        <v>Ann</v>
      </c>
    </row>
    <row r="404" spans="1:27"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IF(data[[#This Row],[Sales]]&gt;500,"High","Low")</f>
        <v>Low</v>
      </c>
      <c r="W404" s="111">
        <f t="shared" ca="1" si="12"/>
        <v>46152.63727835648</v>
      </c>
      <c r="X404">
        <f>DATEDIF(data[[#This Row],[Order Date]], data[[#This Row],[Ship Date]], "d")</f>
        <v>2</v>
      </c>
      <c r="Y404">
        <f t="shared" ca="1" si="13"/>
        <v>2026</v>
      </c>
      <c r="Z404" s="159">
        <f>EOMONTH(data[[#This Row],[Order Date]],0)</f>
        <v>42004</v>
      </c>
      <c r="AA404" s="159" t="str">
        <f>LEFT(data[[#This Row],[Customer Name]],3)</f>
        <v>Luk</v>
      </c>
    </row>
    <row r="405" spans="1:27"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IF(data[[#This Row],[Sales]]&gt;500,"High","Low")</f>
        <v>Low</v>
      </c>
      <c r="W405" s="111">
        <f t="shared" ca="1" si="12"/>
        <v>46152.63727835648</v>
      </c>
      <c r="X405">
        <f>DATEDIF(data[[#This Row],[Order Date]], data[[#This Row],[Ship Date]], "d")</f>
        <v>4</v>
      </c>
      <c r="Y405">
        <f t="shared" ca="1" si="13"/>
        <v>2026</v>
      </c>
      <c r="Z405" s="159">
        <f>EOMONTH(data[[#This Row],[Order Date]],0)</f>
        <v>41759</v>
      </c>
      <c r="AA405" s="159" t="str">
        <f>LEFT(data[[#This Row],[Customer Name]],3)</f>
        <v>Ste</v>
      </c>
    </row>
    <row r="406" spans="1:27"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IF(data[[#This Row],[Sales]]&gt;500,"High","Low")</f>
        <v>Low</v>
      </c>
      <c r="W406" s="111">
        <f t="shared" ca="1" si="12"/>
        <v>46152.63727835648</v>
      </c>
      <c r="X406">
        <f>DATEDIF(data[[#This Row],[Order Date]], data[[#This Row],[Ship Date]], "d")</f>
        <v>5</v>
      </c>
      <c r="Y406">
        <f t="shared" ca="1" si="13"/>
        <v>2026</v>
      </c>
      <c r="Z406" s="159">
        <f>EOMONTH(data[[#This Row],[Order Date]],0)</f>
        <v>43100</v>
      </c>
      <c r="AA406" s="159" t="str">
        <f>LEFT(data[[#This Row],[Customer Name]],3)</f>
        <v>Roy</v>
      </c>
    </row>
    <row r="407" spans="1:27"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IF(data[[#This Row],[Sales]]&gt;500,"High","Low")</f>
        <v>Low</v>
      </c>
      <c r="W407" s="111">
        <f t="shared" ca="1" si="12"/>
        <v>46152.63727835648</v>
      </c>
      <c r="X407">
        <f>DATEDIF(data[[#This Row],[Order Date]], data[[#This Row],[Ship Date]], "d")</f>
        <v>4</v>
      </c>
      <c r="Y407">
        <f t="shared" ca="1" si="13"/>
        <v>2026</v>
      </c>
      <c r="Z407" s="159">
        <f>EOMONTH(data[[#This Row],[Order Date]],0)</f>
        <v>43100</v>
      </c>
      <c r="AA407" s="159" t="str">
        <f>LEFT(data[[#This Row],[Customer Name]],3)</f>
        <v>Kei</v>
      </c>
    </row>
    <row r="408" spans="1:27"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IF(data[[#This Row],[Sales]]&gt;500,"High","Low")</f>
        <v>High</v>
      </c>
      <c r="W408" s="111">
        <f t="shared" ca="1" si="12"/>
        <v>46152.63727835648</v>
      </c>
      <c r="X408">
        <f>DATEDIF(data[[#This Row],[Order Date]], data[[#This Row],[Ship Date]], "d")</f>
        <v>4</v>
      </c>
      <c r="Y408">
        <f t="shared" ca="1" si="13"/>
        <v>2026</v>
      </c>
      <c r="Z408" s="159">
        <f>EOMONTH(data[[#This Row],[Order Date]],0)</f>
        <v>43100</v>
      </c>
      <c r="AA408" s="159" t="str">
        <f>LEFT(data[[#This Row],[Customer Name]],3)</f>
        <v>Kei</v>
      </c>
    </row>
    <row r="409" spans="1:27"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IF(data[[#This Row],[Sales]]&gt;500,"High","Low")</f>
        <v>Low</v>
      </c>
      <c r="W409" s="111">
        <f t="shared" ca="1" si="12"/>
        <v>46152.63727835648</v>
      </c>
      <c r="X409">
        <f>DATEDIF(data[[#This Row],[Order Date]], data[[#This Row],[Ship Date]], "d")</f>
        <v>4</v>
      </c>
      <c r="Y409">
        <f t="shared" ca="1" si="13"/>
        <v>2026</v>
      </c>
      <c r="Z409" s="159">
        <f>EOMONTH(data[[#This Row],[Order Date]],0)</f>
        <v>43100</v>
      </c>
      <c r="AA409" s="159" t="str">
        <f>LEFT(data[[#This Row],[Customer Name]],3)</f>
        <v>Kei</v>
      </c>
    </row>
    <row r="410" spans="1:27"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IF(data[[#This Row],[Sales]]&gt;500,"High","Low")</f>
        <v>High</v>
      </c>
      <c r="W410" s="111">
        <f t="shared" ca="1" si="12"/>
        <v>46152.63727835648</v>
      </c>
      <c r="X410">
        <f>DATEDIF(data[[#This Row],[Order Date]], data[[#This Row],[Ship Date]], "d")</f>
        <v>4</v>
      </c>
      <c r="Y410">
        <f t="shared" ca="1" si="13"/>
        <v>2026</v>
      </c>
      <c r="Z410" s="159">
        <f>EOMONTH(data[[#This Row],[Order Date]],0)</f>
        <v>43100</v>
      </c>
      <c r="AA410" s="159" t="str">
        <f>LEFT(data[[#This Row],[Customer Name]],3)</f>
        <v>Kei</v>
      </c>
    </row>
    <row r="411" spans="1:27"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IF(data[[#This Row],[Sales]]&gt;500,"High","Low")</f>
        <v>Low</v>
      </c>
      <c r="W411" s="111">
        <f t="shared" ca="1" si="12"/>
        <v>46152.63727835648</v>
      </c>
      <c r="X411">
        <f>DATEDIF(data[[#This Row],[Order Date]], data[[#This Row],[Ship Date]], "d")</f>
        <v>4</v>
      </c>
      <c r="Y411">
        <f t="shared" ca="1" si="13"/>
        <v>2026</v>
      </c>
      <c r="Z411" s="159">
        <f>EOMONTH(data[[#This Row],[Order Date]],0)</f>
        <v>43100</v>
      </c>
      <c r="AA411" s="159" t="str">
        <f>LEFT(data[[#This Row],[Customer Name]],3)</f>
        <v>Kei</v>
      </c>
    </row>
    <row r="412" spans="1:27"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IF(data[[#This Row],[Sales]]&gt;500,"High","Low")</f>
        <v>Low</v>
      </c>
      <c r="W412" s="111">
        <f t="shared" ca="1" si="12"/>
        <v>46152.63727835648</v>
      </c>
      <c r="X412">
        <f>DATEDIF(data[[#This Row],[Order Date]], data[[#This Row],[Ship Date]], "d")</f>
        <v>4</v>
      </c>
      <c r="Y412">
        <f t="shared" ca="1" si="13"/>
        <v>2026</v>
      </c>
      <c r="Z412" s="159">
        <f>EOMONTH(data[[#This Row],[Order Date]],0)</f>
        <v>43100</v>
      </c>
      <c r="AA412" s="159" t="str">
        <f>LEFT(data[[#This Row],[Customer Name]],3)</f>
        <v>Kei</v>
      </c>
    </row>
    <row r="413" spans="1:27"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IF(data[[#This Row],[Sales]]&gt;500,"High","Low")</f>
        <v>Low</v>
      </c>
      <c r="W413" s="111">
        <f t="shared" ca="1" si="12"/>
        <v>46152.63727835648</v>
      </c>
      <c r="X413">
        <f>DATEDIF(data[[#This Row],[Order Date]], data[[#This Row],[Ship Date]], "d")</f>
        <v>4</v>
      </c>
      <c r="Y413">
        <f t="shared" ca="1" si="13"/>
        <v>2026</v>
      </c>
      <c r="Z413" s="159">
        <f>EOMONTH(data[[#This Row],[Order Date]],0)</f>
        <v>43100</v>
      </c>
      <c r="AA413" s="159" t="str">
        <f>LEFT(data[[#This Row],[Customer Name]],3)</f>
        <v>Kei</v>
      </c>
    </row>
    <row r="414" spans="1:27"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IF(data[[#This Row],[Sales]]&gt;500,"High","Low")</f>
        <v>High</v>
      </c>
      <c r="W414" s="111">
        <f t="shared" ca="1" si="12"/>
        <v>46152.63727835648</v>
      </c>
      <c r="X414">
        <f>DATEDIF(data[[#This Row],[Order Date]], data[[#This Row],[Ship Date]], "d")</f>
        <v>4</v>
      </c>
      <c r="Y414">
        <f t="shared" ca="1" si="13"/>
        <v>2026</v>
      </c>
      <c r="Z414" s="159">
        <f>EOMONTH(data[[#This Row],[Order Date]],0)</f>
        <v>43100</v>
      </c>
      <c r="AA414" s="159" t="str">
        <f>LEFT(data[[#This Row],[Customer Name]],3)</f>
        <v>Kei</v>
      </c>
    </row>
    <row r="415" spans="1:27"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IF(data[[#This Row],[Sales]]&gt;500,"High","Low")</f>
        <v>Low</v>
      </c>
      <c r="W415" s="111">
        <f t="shared" ca="1" si="12"/>
        <v>46152.63727835648</v>
      </c>
      <c r="X415">
        <f>DATEDIF(data[[#This Row],[Order Date]], data[[#This Row],[Ship Date]], "d")</f>
        <v>4</v>
      </c>
      <c r="Y415">
        <f t="shared" ca="1" si="13"/>
        <v>2026</v>
      </c>
      <c r="Z415" s="159">
        <f>EOMONTH(data[[#This Row],[Order Date]],0)</f>
        <v>43100</v>
      </c>
      <c r="AA415" s="159" t="str">
        <f>LEFT(data[[#This Row],[Customer Name]],3)</f>
        <v>Kei</v>
      </c>
    </row>
    <row r="416" spans="1:27"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IF(data[[#This Row],[Sales]]&gt;500,"High","Low")</f>
        <v>Low</v>
      </c>
      <c r="W416" s="111">
        <f t="shared" ca="1" si="12"/>
        <v>46152.63727835648</v>
      </c>
      <c r="X416">
        <f>DATEDIF(data[[#This Row],[Order Date]], data[[#This Row],[Ship Date]], "d")</f>
        <v>4</v>
      </c>
      <c r="Y416">
        <f t="shared" ca="1" si="13"/>
        <v>2026</v>
      </c>
      <c r="Z416" s="159">
        <f>EOMONTH(data[[#This Row],[Order Date]],0)</f>
        <v>43069</v>
      </c>
      <c r="AA416" s="159" t="str">
        <f>LEFT(data[[#This Row],[Customer Name]],3)</f>
        <v>Kim</v>
      </c>
    </row>
    <row r="417" spans="1:27"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IF(data[[#This Row],[Sales]]&gt;500,"High","Low")</f>
        <v>Low</v>
      </c>
      <c r="W417" s="111">
        <f t="shared" ca="1" si="12"/>
        <v>46152.63727835648</v>
      </c>
      <c r="X417">
        <f>DATEDIF(data[[#This Row],[Order Date]], data[[#This Row],[Ship Date]], "d")</f>
        <v>4</v>
      </c>
      <c r="Y417">
        <f t="shared" ca="1" si="13"/>
        <v>2026</v>
      </c>
      <c r="Z417" s="159">
        <f>EOMONTH(data[[#This Row],[Order Date]],0)</f>
        <v>43069</v>
      </c>
      <c r="AA417" s="159" t="str">
        <f>LEFT(data[[#This Row],[Customer Name]],3)</f>
        <v>Kim</v>
      </c>
    </row>
    <row r="418" spans="1:27"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IF(data[[#This Row],[Sales]]&gt;500,"High","Low")</f>
        <v>Low</v>
      </c>
      <c r="W418" s="111">
        <f t="shared" ca="1" si="12"/>
        <v>46152.63727835648</v>
      </c>
      <c r="X418">
        <f>DATEDIF(data[[#This Row],[Order Date]], data[[#This Row],[Ship Date]], "d")</f>
        <v>4</v>
      </c>
      <c r="Y418">
        <f t="shared" ca="1" si="13"/>
        <v>2026</v>
      </c>
      <c r="Z418" s="159">
        <f>EOMONTH(data[[#This Row],[Order Date]],0)</f>
        <v>42916</v>
      </c>
      <c r="AA418" s="159" t="str">
        <f>LEFT(data[[#This Row],[Customer Name]],3)</f>
        <v>Car</v>
      </c>
    </row>
    <row r="419" spans="1:27"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IF(data[[#This Row],[Sales]]&gt;500,"High","Low")</f>
        <v>Low</v>
      </c>
      <c r="W419" s="111">
        <f t="shared" ca="1" si="12"/>
        <v>46152.63727835648</v>
      </c>
      <c r="X419">
        <f>DATEDIF(data[[#This Row],[Order Date]], data[[#This Row],[Ship Date]], "d")</f>
        <v>4</v>
      </c>
      <c r="Y419">
        <f t="shared" ca="1" si="13"/>
        <v>2026</v>
      </c>
      <c r="Z419" s="159">
        <f>EOMONTH(data[[#This Row],[Order Date]],0)</f>
        <v>42490</v>
      </c>
      <c r="AA419" s="159" t="str">
        <f>LEFT(data[[#This Row],[Customer Name]],3)</f>
        <v>Phi</v>
      </c>
    </row>
    <row r="420" spans="1:27"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IF(data[[#This Row],[Sales]]&gt;500,"High","Low")</f>
        <v>Low</v>
      </c>
      <c r="W420" s="111">
        <f t="shared" ca="1" si="12"/>
        <v>46152.63727835648</v>
      </c>
      <c r="X420">
        <f>DATEDIF(data[[#This Row],[Order Date]], data[[#This Row],[Ship Date]], "d")</f>
        <v>4</v>
      </c>
      <c r="Y420">
        <f t="shared" ca="1" si="13"/>
        <v>2026</v>
      </c>
      <c r="Z420" s="159">
        <f>EOMONTH(data[[#This Row],[Order Date]],0)</f>
        <v>43069</v>
      </c>
      <c r="AA420" s="159" t="str">
        <f>LEFT(data[[#This Row],[Customer Name]],3)</f>
        <v>Vic</v>
      </c>
    </row>
    <row r="421" spans="1:27"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IF(data[[#This Row],[Sales]]&gt;500,"High","Low")</f>
        <v>Low</v>
      </c>
      <c r="W421" s="111">
        <f t="shared" ca="1" si="12"/>
        <v>46152.63727835648</v>
      </c>
      <c r="X421">
        <f>DATEDIF(data[[#This Row],[Order Date]], data[[#This Row],[Ship Date]], "d")</f>
        <v>5</v>
      </c>
      <c r="Y421">
        <f t="shared" ca="1" si="13"/>
        <v>2026</v>
      </c>
      <c r="Z421" s="159">
        <f>EOMONTH(data[[#This Row],[Order Date]],0)</f>
        <v>42825</v>
      </c>
      <c r="AA421" s="159" t="str">
        <f>LEFT(data[[#This Row],[Customer Name]],3)</f>
        <v>Sun</v>
      </c>
    </row>
    <row r="422" spans="1:27"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IF(data[[#This Row],[Sales]]&gt;500,"High","Low")</f>
        <v>Low</v>
      </c>
      <c r="W422" s="111">
        <f t="shared" ca="1" si="12"/>
        <v>46152.63727835648</v>
      </c>
      <c r="X422">
        <f>DATEDIF(data[[#This Row],[Order Date]], data[[#This Row],[Ship Date]], "d")</f>
        <v>5</v>
      </c>
      <c r="Y422">
        <f t="shared" ca="1" si="13"/>
        <v>2026</v>
      </c>
      <c r="Z422" s="159">
        <f>EOMONTH(data[[#This Row],[Order Date]],0)</f>
        <v>42825</v>
      </c>
      <c r="AA422" s="159" t="str">
        <f>LEFT(data[[#This Row],[Customer Name]],3)</f>
        <v>Sun</v>
      </c>
    </row>
    <row r="423" spans="1:27"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IF(data[[#This Row],[Sales]]&gt;500,"High","Low")</f>
        <v>Low</v>
      </c>
      <c r="W423" s="111">
        <f t="shared" ca="1" si="12"/>
        <v>46152.63727835648</v>
      </c>
      <c r="X423">
        <f>DATEDIF(data[[#This Row],[Order Date]], data[[#This Row],[Ship Date]], "d")</f>
        <v>3</v>
      </c>
      <c r="Y423">
        <f t="shared" ca="1" si="13"/>
        <v>2026</v>
      </c>
      <c r="Z423" s="159">
        <f>EOMONTH(data[[#This Row],[Order Date]],0)</f>
        <v>41820</v>
      </c>
      <c r="AA423" s="159" t="str">
        <f>LEFT(data[[#This Row],[Customer Name]],3)</f>
        <v>Joe</v>
      </c>
    </row>
    <row r="424" spans="1:27"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IF(data[[#This Row],[Sales]]&gt;500,"High","Low")</f>
        <v>Low</v>
      </c>
      <c r="W424" s="111">
        <f t="shared" ca="1" si="12"/>
        <v>46152.63727835648</v>
      </c>
      <c r="X424">
        <f>DATEDIF(data[[#This Row],[Order Date]], data[[#This Row],[Ship Date]], "d")</f>
        <v>4</v>
      </c>
      <c r="Y424">
        <f t="shared" ca="1" si="13"/>
        <v>2026</v>
      </c>
      <c r="Z424" s="159">
        <f>EOMONTH(data[[#This Row],[Order Date]],0)</f>
        <v>43039</v>
      </c>
      <c r="AA424" s="159" t="str">
        <f>LEFT(data[[#This Row],[Customer Name]],3)</f>
        <v>Mic</v>
      </c>
    </row>
    <row r="425" spans="1:27"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IF(data[[#This Row],[Sales]]&gt;500,"High","Low")</f>
        <v>Low</v>
      </c>
      <c r="W425" s="111">
        <f t="shared" ca="1" si="12"/>
        <v>46152.63727835648</v>
      </c>
      <c r="X425">
        <f>DATEDIF(data[[#This Row],[Order Date]], data[[#This Row],[Ship Date]], "d")</f>
        <v>4</v>
      </c>
      <c r="Y425">
        <f t="shared" ca="1" si="13"/>
        <v>2026</v>
      </c>
      <c r="Z425" s="159">
        <f>EOMONTH(data[[#This Row],[Order Date]],0)</f>
        <v>43039</v>
      </c>
      <c r="AA425" s="159" t="str">
        <f>LEFT(data[[#This Row],[Customer Name]],3)</f>
        <v>Mic</v>
      </c>
    </row>
    <row r="426" spans="1:27"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IF(data[[#This Row],[Sales]]&gt;500,"High","Low")</f>
        <v>High</v>
      </c>
      <c r="W426" s="111">
        <f t="shared" ca="1" si="12"/>
        <v>46152.63727835648</v>
      </c>
      <c r="X426">
        <f>DATEDIF(data[[#This Row],[Order Date]], data[[#This Row],[Ship Date]], "d")</f>
        <v>2</v>
      </c>
      <c r="Y426">
        <f t="shared" ca="1" si="13"/>
        <v>2026</v>
      </c>
      <c r="Z426" s="159">
        <f>EOMONTH(data[[#This Row],[Order Date]],0)</f>
        <v>42978</v>
      </c>
      <c r="AA426" s="159" t="str">
        <f>LEFT(data[[#This Row],[Customer Name]],3)</f>
        <v>Nat</v>
      </c>
    </row>
    <row r="427" spans="1:27"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IF(data[[#This Row],[Sales]]&gt;500,"High","Low")</f>
        <v>Low</v>
      </c>
      <c r="W427" s="111">
        <f t="shared" ca="1" si="12"/>
        <v>46152.63727835648</v>
      </c>
      <c r="X427">
        <f>DATEDIF(data[[#This Row],[Order Date]], data[[#This Row],[Ship Date]], "d")</f>
        <v>3</v>
      </c>
      <c r="Y427">
        <f t="shared" ca="1" si="13"/>
        <v>2026</v>
      </c>
      <c r="Z427" s="159">
        <f>EOMONTH(data[[#This Row],[Order Date]],0)</f>
        <v>43069</v>
      </c>
      <c r="AA427" s="159" t="str">
        <f>LEFT(data[[#This Row],[Customer Name]],3)</f>
        <v>Jan</v>
      </c>
    </row>
    <row r="428" spans="1:27"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IF(data[[#This Row],[Sales]]&gt;500,"High","Low")</f>
        <v>Low</v>
      </c>
      <c r="W428" s="111">
        <f t="shared" ca="1" si="12"/>
        <v>46152.63727835648</v>
      </c>
      <c r="X428">
        <f>DATEDIF(data[[#This Row],[Order Date]], data[[#This Row],[Ship Date]], "d")</f>
        <v>3</v>
      </c>
      <c r="Y428">
        <f t="shared" ca="1" si="13"/>
        <v>2026</v>
      </c>
      <c r="Z428" s="159">
        <f>EOMONTH(data[[#This Row],[Order Date]],0)</f>
        <v>43069</v>
      </c>
      <c r="AA428" s="159" t="str">
        <f>LEFT(data[[#This Row],[Customer Name]],3)</f>
        <v>Jan</v>
      </c>
    </row>
    <row r="429" spans="1:27"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IF(data[[#This Row],[Sales]]&gt;500,"High","Low")</f>
        <v>Low</v>
      </c>
      <c r="W429" s="111">
        <f t="shared" ca="1" si="12"/>
        <v>46152.63727835648</v>
      </c>
      <c r="X429">
        <f>DATEDIF(data[[#This Row],[Order Date]], data[[#This Row],[Ship Date]], "d")</f>
        <v>1</v>
      </c>
      <c r="Y429">
        <f t="shared" ca="1" si="13"/>
        <v>2026</v>
      </c>
      <c r="Z429" s="159">
        <f>EOMONTH(data[[#This Row],[Order Date]],0)</f>
        <v>41912</v>
      </c>
      <c r="AA429" s="159" t="str">
        <f>LEFT(data[[#This Row],[Customer Name]],3)</f>
        <v>Shi</v>
      </c>
    </row>
    <row r="430" spans="1:27"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IF(data[[#This Row],[Sales]]&gt;500,"High","Low")</f>
        <v>Low</v>
      </c>
      <c r="W430" s="111">
        <f t="shared" ca="1" si="12"/>
        <v>46152.63727835648</v>
      </c>
      <c r="X430">
        <f>DATEDIF(data[[#This Row],[Order Date]], data[[#This Row],[Ship Date]], "d")</f>
        <v>7</v>
      </c>
      <c r="Y430">
        <f t="shared" ca="1" si="13"/>
        <v>2026</v>
      </c>
      <c r="Z430" s="159">
        <f>EOMONTH(data[[#This Row],[Order Date]],0)</f>
        <v>43039</v>
      </c>
      <c r="AA430" s="159" t="str">
        <f>LEFT(data[[#This Row],[Customer Name]],3)</f>
        <v>Ken</v>
      </c>
    </row>
    <row r="431" spans="1:27"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IF(data[[#This Row],[Sales]]&gt;500,"High","Low")</f>
        <v>Low</v>
      </c>
      <c r="W431" s="111">
        <f t="shared" ca="1" si="12"/>
        <v>46152.63727835648</v>
      </c>
      <c r="X431">
        <f>DATEDIF(data[[#This Row],[Order Date]], data[[#This Row],[Ship Date]], "d")</f>
        <v>6</v>
      </c>
      <c r="Y431">
        <f t="shared" ca="1" si="13"/>
        <v>2026</v>
      </c>
      <c r="Z431" s="159">
        <f>EOMONTH(data[[#This Row],[Order Date]],0)</f>
        <v>42490</v>
      </c>
      <c r="AA431" s="159" t="str">
        <f>LEFT(data[[#This Row],[Customer Name]],3)</f>
        <v>Ros</v>
      </c>
    </row>
    <row r="432" spans="1:27"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IF(data[[#This Row],[Sales]]&gt;500,"High","Low")</f>
        <v>Low</v>
      </c>
      <c r="W432" s="111">
        <f t="shared" ca="1" si="12"/>
        <v>46152.63727835648</v>
      </c>
      <c r="X432">
        <f>DATEDIF(data[[#This Row],[Order Date]], data[[#This Row],[Ship Date]], "d")</f>
        <v>6</v>
      </c>
      <c r="Y432">
        <f t="shared" ca="1" si="13"/>
        <v>2026</v>
      </c>
      <c r="Z432" s="159">
        <f>EOMONTH(data[[#This Row],[Order Date]],0)</f>
        <v>42490</v>
      </c>
      <c r="AA432" s="159" t="str">
        <f>LEFT(data[[#This Row],[Customer Name]],3)</f>
        <v>Ros</v>
      </c>
    </row>
    <row r="433" spans="1:27"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IF(data[[#This Row],[Sales]]&gt;500,"High","Low")</f>
        <v>Low</v>
      </c>
      <c r="W433" s="111">
        <f t="shared" ca="1" si="12"/>
        <v>46152.63727835648</v>
      </c>
      <c r="X433">
        <f>DATEDIF(data[[#This Row],[Order Date]], data[[#This Row],[Ship Date]], "d")</f>
        <v>6</v>
      </c>
      <c r="Y433">
        <f t="shared" ca="1" si="13"/>
        <v>2026</v>
      </c>
      <c r="Z433" s="159">
        <f>EOMONTH(data[[#This Row],[Order Date]],0)</f>
        <v>42490</v>
      </c>
      <c r="AA433" s="159" t="str">
        <f>LEFT(data[[#This Row],[Customer Name]],3)</f>
        <v>Ros</v>
      </c>
    </row>
    <row r="434" spans="1:27"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IF(data[[#This Row],[Sales]]&gt;500,"High","Low")</f>
        <v>Low</v>
      </c>
      <c r="W434" s="111">
        <f t="shared" ca="1" si="12"/>
        <v>46152.63727835648</v>
      </c>
      <c r="X434">
        <f>DATEDIF(data[[#This Row],[Order Date]], data[[#This Row],[Ship Date]], "d")</f>
        <v>6</v>
      </c>
      <c r="Y434">
        <f t="shared" ca="1" si="13"/>
        <v>2026</v>
      </c>
      <c r="Z434" s="159">
        <f>EOMONTH(data[[#This Row],[Order Date]],0)</f>
        <v>42490</v>
      </c>
      <c r="AA434" s="159" t="str">
        <f>LEFT(data[[#This Row],[Customer Name]],3)</f>
        <v>Ros</v>
      </c>
    </row>
    <row r="435" spans="1:27"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IF(data[[#This Row],[Sales]]&gt;500,"High","Low")</f>
        <v>High</v>
      </c>
      <c r="W435" s="111">
        <f t="shared" ca="1" si="12"/>
        <v>46152.63727835648</v>
      </c>
      <c r="X435">
        <f>DATEDIF(data[[#This Row],[Order Date]], data[[#This Row],[Ship Date]], "d")</f>
        <v>1</v>
      </c>
      <c r="Y435">
        <f t="shared" ca="1" si="13"/>
        <v>2026</v>
      </c>
      <c r="Z435" s="159">
        <f>EOMONTH(data[[#This Row],[Order Date]],0)</f>
        <v>42551</v>
      </c>
      <c r="AA435" s="159" t="str">
        <f>LEFT(data[[#This Row],[Customer Name]],3)</f>
        <v>Dav</v>
      </c>
    </row>
    <row r="436" spans="1:27"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IF(data[[#This Row],[Sales]]&gt;500,"High","Low")</f>
        <v>Low</v>
      </c>
      <c r="W436" s="111">
        <f t="shared" ca="1" si="12"/>
        <v>46152.63727835648</v>
      </c>
      <c r="X436">
        <f>DATEDIF(data[[#This Row],[Order Date]], data[[#This Row],[Ship Date]], "d")</f>
        <v>6</v>
      </c>
      <c r="Y436">
        <f t="shared" ca="1" si="13"/>
        <v>2026</v>
      </c>
      <c r="Z436" s="159">
        <f>EOMONTH(data[[#This Row],[Order Date]],0)</f>
        <v>42004</v>
      </c>
      <c r="AA436" s="159" t="str">
        <f>LEFT(data[[#This Row],[Customer Name]],3)</f>
        <v>Mik</v>
      </c>
    </row>
    <row r="437" spans="1:27"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IF(data[[#This Row],[Sales]]&gt;500,"High","Low")</f>
        <v>Low</v>
      </c>
      <c r="W437" s="111">
        <f t="shared" ca="1" si="12"/>
        <v>46152.63727835648</v>
      </c>
      <c r="X437">
        <f>DATEDIF(data[[#This Row],[Order Date]], data[[#This Row],[Ship Date]], "d")</f>
        <v>6</v>
      </c>
      <c r="Y437">
        <f t="shared" ca="1" si="13"/>
        <v>2026</v>
      </c>
      <c r="Z437" s="159">
        <f>EOMONTH(data[[#This Row],[Order Date]],0)</f>
        <v>42004</v>
      </c>
      <c r="AA437" s="159" t="str">
        <f>LEFT(data[[#This Row],[Customer Name]],3)</f>
        <v>Mik</v>
      </c>
    </row>
    <row r="438" spans="1:27"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IF(data[[#This Row],[Sales]]&gt;500,"High","Low")</f>
        <v>High</v>
      </c>
      <c r="W438" s="111">
        <f t="shared" ca="1" si="12"/>
        <v>46152.63727835648</v>
      </c>
      <c r="X438">
        <f>DATEDIF(data[[#This Row],[Order Date]], data[[#This Row],[Ship Date]], "d")</f>
        <v>2</v>
      </c>
      <c r="Y438">
        <f t="shared" ca="1" si="13"/>
        <v>2026</v>
      </c>
      <c r="Z438" s="159">
        <f>EOMONTH(data[[#This Row],[Order Date]],0)</f>
        <v>42551</v>
      </c>
      <c r="AA438" s="159" t="str">
        <f>LEFT(data[[#This Row],[Customer Name]],3)</f>
        <v>Phi</v>
      </c>
    </row>
    <row r="439" spans="1:27"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IF(data[[#This Row],[Sales]]&gt;500,"High","Low")</f>
        <v>Low</v>
      </c>
      <c r="W439" s="111">
        <f t="shared" ca="1" si="12"/>
        <v>46152.63727835648</v>
      </c>
      <c r="X439">
        <f>DATEDIF(data[[#This Row],[Order Date]], data[[#This Row],[Ship Date]], "d")</f>
        <v>2</v>
      </c>
      <c r="Y439">
        <f t="shared" ca="1" si="13"/>
        <v>2026</v>
      </c>
      <c r="Z439" s="159">
        <f>EOMONTH(data[[#This Row],[Order Date]],0)</f>
        <v>42551</v>
      </c>
      <c r="AA439" s="159" t="str">
        <f>LEFT(data[[#This Row],[Customer Name]],3)</f>
        <v>Phi</v>
      </c>
    </row>
    <row r="440" spans="1:27"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IF(data[[#This Row],[Sales]]&gt;500,"High","Low")</f>
        <v>Low</v>
      </c>
      <c r="W440" s="111">
        <f t="shared" ca="1" si="12"/>
        <v>46152.63727835648</v>
      </c>
      <c r="X440">
        <f>DATEDIF(data[[#This Row],[Order Date]], data[[#This Row],[Ship Date]], "d")</f>
        <v>4</v>
      </c>
      <c r="Y440">
        <f t="shared" ca="1" si="13"/>
        <v>2026</v>
      </c>
      <c r="Z440" s="159">
        <f>EOMONTH(data[[#This Row],[Order Date]],0)</f>
        <v>43008</v>
      </c>
      <c r="AA440" s="159" t="str">
        <f>LEFT(data[[#This Row],[Customer Name]],3)</f>
        <v>Bre</v>
      </c>
    </row>
    <row r="441" spans="1:27"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IF(data[[#This Row],[Sales]]&gt;500,"High","Low")</f>
        <v>Low</v>
      </c>
      <c r="W441" s="111">
        <f t="shared" ca="1" si="12"/>
        <v>46152.63727835648</v>
      </c>
      <c r="X441">
        <f>DATEDIF(data[[#This Row],[Order Date]], data[[#This Row],[Ship Date]], "d")</f>
        <v>3</v>
      </c>
      <c r="Y441">
        <f t="shared" ca="1" si="13"/>
        <v>2026</v>
      </c>
      <c r="Z441" s="159">
        <f>EOMONTH(data[[#This Row],[Order Date]],0)</f>
        <v>42766</v>
      </c>
      <c r="AA441" s="159" t="str">
        <f>LEFT(data[[#This Row],[Customer Name]],3)</f>
        <v>Cyn</v>
      </c>
    </row>
    <row r="442" spans="1:27"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IF(data[[#This Row],[Sales]]&gt;500,"High","Low")</f>
        <v>Low</v>
      </c>
      <c r="W442" s="111">
        <f t="shared" ca="1" si="12"/>
        <v>46152.63727835648</v>
      </c>
      <c r="X442">
        <f>DATEDIF(data[[#This Row],[Order Date]], data[[#This Row],[Ship Date]], "d")</f>
        <v>2</v>
      </c>
      <c r="Y442">
        <f t="shared" ca="1" si="13"/>
        <v>2026</v>
      </c>
      <c r="Z442" s="159">
        <f>EOMONTH(data[[#This Row],[Order Date]],0)</f>
        <v>42643</v>
      </c>
      <c r="AA442" s="159" t="str">
        <f>LEFT(data[[#This Row],[Customer Name]],3)</f>
        <v>Pet</v>
      </c>
    </row>
    <row r="443" spans="1:27"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IF(data[[#This Row],[Sales]]&gt;500,"High","Low")</f>
        <v>Low</v>
      </c>
      <c r="W443" s="111">
        <f t="shared" ca="1" si="12"/>
        <v>46152.63727835648</v>
      </c>
      <c r="X443">
        <f>DATEDIF(data[[#This Row],[Order Date]], data[[#This Row],[Ship Date]], "d")</f>
        <v>2</v>
      </c>
      <c r="Y443">
        <f t="shared" ca="1" si="13"/>
        <v>2026</v>
      </c>
      <c r="Z443" s="159">
        <f>EOMONTH(data[[#This Row],[Order Date]],0)</f>
        <v>42643</v>
      </c>
      <c r="AA443" s="159" t="str">
        <f>LEFT(data[[#This Row],[Customer Name]],3)</f>
        <v>Pet</v>
      </c>
    </row>
    <row r="444" spans="1:27"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IF(data[[#This Row],[Sales]]&gt;500,"High","Low")</f>
        <v>Low</v>
      </c>
      <c r="W444" s="111">
        <f t="shared" ca="1" si="12"/>
        <v>46152.63727835648</v>
      </c>
      <c r="X444">
        <f>DATEDIF(data[[#This Row],[Order Date]], data[[#This Row],[Ship Date]], "d")</f>
        <v>2</v>
      </c>
      <c r="Y444">
        <f t="shared" ca="1" si="13"/>
        <v>2026</v>
      </c>
      <c r="Z444" s="159">
        <f>EOMONTH(data[[#This Row],[Order Date]],0)</f>
        <v>42643</v>
      </c>
      <c r="AA444" s="159" t="str">
        <f>LEFT(data[[#This Row],[Customer Name]],3)</f>
        <v>Pet</v>
      </c>
    </row>
    <row r="445" spans="1:27"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IF(data[[#This Row],[Sales]]&gt;500,"High","Low")</f>
        <v>Low</v>
      </c>
      <c r="W445" s="111">
        <f t="shared" ca="1" si="12"/>
        <v>46152.63727835648</v>
      </c>
      <c r="X445">
        <f>DATEDIF(data[[#This Row],[Order Date]], data[[#This Row],[Ship Date]], "d")</f>
        <v>2</v>
      </c>
      <c r="Y445">
        <f t="shared" ca="1" si="13"/>
        <v>2026</v>
      </c>
      <c r="Z445" s="159">
        <f>EOMONTH(data[[#This Row],[Order Date]],0)</f>
        <v>42643</v>
      </c>
      <c r="AA445" s="159" t="str">
        <f>LEFT(data[[#This Row],[Customer Name]],3)</f>
        <v>Pet</v>
      </c>
    </row>
    <row r="446" spans="1:27"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IF(data[[#This Row],[Sales]]&gt;500,"High","Low")</f>
        <v>Low</v>
      </c>
      <c r="W446" s="111">
        <f t="shared" ca="1" si="12"/>
        <v>46152.63727835648</v>
      </c>
      <c r="X446">
        <f>DATEDIF(data[[#This Row],[Order Date]], data[[#This Row],[Ship Date]], "d")</f>
        <v>2</v>
      </c>
      <c r="Y446">
        <f t="shared" ca="1" si="13"/>
        <v>2026</v>
      </c>
      <c r="Z446" s="159">
        <f>EOMONTH(data[[#This Row],[Order Date]],0)</f>
        <v>42643</v>
      </c>
      <c r="AA446" s="159" t="str">
        <f>LEFT(data[[#This Row],[Customer Name]],3)</f>
        <v>Pet</v>
      </c>
    </row>
    <row r="447" spans="1:27"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IF(data[[#This Row],[Sales]]&gt;500,"High","Low")</f>
        <v>Low</v>
      </c>
      <c r="W447" s="111">
        <f t="shared" ca="1" si="12"/>
        <v>46152.63727835648</v>
      </c>
      <c r="X447">
        <f>DATEDIF(data[[#This Row],[Order Date]], data[[#This Row],[Ship Date]], "d")</f>
        <v>2</v>
      </c>
      <c r="Y447">
        <f t="shared" ca="1" si="13"/>
        <v>2026</v>
      </c>
      <c r="Z447" s="159">
        <f>EOMONTH(data[[#This Row],[Order Date]],0)</f>
        <v>42643</v>
      </c>
      <c r="AA447" s="159" t="str">
        <f>LEFT(data[[#This Row],[Customer Name]],3)</f>
        <v>Pet</v>
      </c>
    </row>
    <row r="448" spans="1:27"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IF(data[[#This Row],[Sales]]&gt;500,"High","Low")</f>
        <v>Low</v>
      </c>
      <c r="W448" s="111">
        <f t="shared" ca="1" si="12"/>
        <v>46152.63727835648</v>
      </c>
      <c r="X448">
        <f>DATEDIF(data[[#This Row],[Order Date]], data[[#This Row],[Ship Date]], "d")</f>
        <v>5</v>
      </c>
      <c r="Y448">
        <f t="shared" ca="1" si="13"/>
        <v>2026</v>
      </c>
      <c r="Z448" s="159">
        <f>EOMONTH(data[[#This Row],[Order Date]],0)</f>
        <v>42825</v>
      </c>
      <c r="AA448" s="159" t="str">
        <f>LEFT(data[[#This Row],[Customer Name]],3)</f>
        <v>Tro</v>
      </c>
    </row>
    <row r="449" spans="1:27"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IF(data[[#This Row],[Sales]]&gt;500,"High","Low")</f>
        <v>Low</v>
      </c>
      <c r="W449" s="111">
        <f t="shared" ca="1" si="12"/>
        <v>46152.63727835648</v>
      </c>
      <c r="X449">
        <f>DATEDIF(data[[#This Row],[Order Date]], data[[#This Row],[Ship Date]], "d")</f>
        <v>2</v>
      </c>
      <c r="Y449">
        <f t="shared" ca="1" si="13"/>
        <v>2026</v>
      </c>
      <c r="Z449" s="159">
        <f>EOMONTH(data[[#This Row],[Order Date]],0)</f>
        <v>42490</v>
      </c>
      <c r="AA449" s="159" t="str">
        <f>LEFT(data[[#This Row],[Customer Name]],3)</f>
        <v>Ray</v>
      </c>
    </row>
    <row r="450" spans="1:27"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IF(data[[#This Row],[Sales]]&gt;500,"High","Low")</f>
        <v>Low</v>
      </c>
      <c r="W450" s="111">
        <f t="shared" ref="W450:W500" ca="1" si="14">NOW()</f>
        <v>46152.63727835648</v>
      </c>
      <c r="X450">
        <f>DATEDIF(data[[#This Row],[Order Date]], data[[#This Row],[Ship Date]], "d")</f>
        <v>2</v>
      </c>
      <c r="Y450">
        <f t="shared" ref="Y450:Y500" ca="1" si="15">YEAR(TODAY())</f>
        <v>2026</v>
      </c>
      <c r="Z450" s="159">
        <f>EOMONTH(data[[#This Row],[Order Date]],0)</f>
        <v>42490</v>
      </c>
      <c r="AA450" s="159" t="str">
        <f>LEFT(data[[#This Row],[Customer Name]],3)</f>
        <v>Ray</v>
      </c>
    </row>
    <row r="451" spans="1:27"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IF(data[[#This Row],[Sales]]&gt;500,"High","Low")</f>
        <v>Low</v>
      </c>
      <c r="W451" s="111">
        <f t="shared" ca="1" si="14"/>
        <v>46152.63727835648</v>
      </c>
      <c r="X451">
        <f>DATEDIF(data[[#This Row],[Order Date]], data[[#This Row],[Ship Date]], "d")</f>
        <v>2</v>
      </c>
      <c r="Y451">
        <f t="shared" ca="1" si="15"/>
        <v>2026</v>
      </c>
      <c r="Z451" s="159">
        <f>EOMONTH(data[[#This Row],[Order Date]],0)</f>
        <v>42490</v>
      </c>
      <c r="AA451" s="159" t="str">
        <f>LEFT(data[[#This Row],[Customer Name]],3)</f>
        <v>Ray</v>
      </c>
    </row>
    <row r="452" spans="1:27"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IF(data[[#This Row],[Sales]]&gt;500,"High","Low")</f>
        <v>Low</v>
      </c>
      <c r="W452" s="111">
        <f t="shared" ca="1" si="14"/>
        <v>46152.63727835648</v>
      </c>
      <c r="X452">
        <f>DATEDIF(data[[#This Row],[Order Date]], data[[#This Row],[Ship Date]], "d")</f>
        <v>2</v>
      </c>
      <c r="Y452">
        <f t="shared" ca="1" si="15"/>
        <v>2026</v>
      </c>
      <c r="Z452" s="159">
        <f>EOMONTH(data[[#This Row],[Order Date]],0)</f>
        <v>42490</v>
      </c>
      <c r="AA452" s="159" t="str">
        <f>LEFT(data[[#This Row],[Customer Name]],3)</f>
        <v>Ray</v>
      </c>
    </row>
    <row r="453" spans="1:27"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IF(data[[#This Row],[Sales]]&gt;500,"High","Low")</f>
        <v>Low</v>
      </c>
      <c r="W453" s="111">
        <f t="shared" ca="1" si="14"/>
        <v>46152.63727835648</v>
      </c>
      <c r="X453">
        <f>DATEDIF(data[[#This Row],[Order Date]], data[[#This Row],[Ship Date]], "d")</f>
        <v>2</v>
      </c>
      <c r="Y453">
        <f t="shared" ca="1" si="15"/>
        <v>2026</v>
      </c>
      <c r="Z453" s="159">
        <f>EOMONTH(data[[#This Row],[Order Date]],0)</f>
        <v>42490</v>
      </c>
      <c r="AA453" s="159" t="str">
        <f>LEFT(data[[#This Row],[Customer Name]],3)</f>
        <v>Ray</v>
      </c>
    </row>
    <row r="454" spans="1:27"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IF(data[[#This Row],[Sales]]&gt;500,"High","Low")</f>
        <v>Low</v>
      </c>
      <c r="W454" s="111">
        <f t="shared" ca="1" si="14"/>
        <v>46152.63727835648</v>
      </c>
      <c r="X454">
        <f>DATEDIF(data[[#This Row],[Order Date]], data[[#This Row],[Ship Date]], "d")</f>
        <v>2</v>
      </c>
      <c r="Y454">
        <f t="shared" ca="1" si="15"/>
        <v>2026</v>
      </c>
      <c r="Z454" s="159">
        <f>EOMONTH(data[[#This Row],[Order Date]],0)</f>
        <v>42490</v>
      </c>
      <c r="AA454" s="159" t="str">
        <f>LEFT(data[[#This Row],[Customer Name]],3)</f>
        <v>Ray</v>
      </c>
    </row>
    <row r="455" spans="1:27"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IF(data[[#This Row],[Sales]]&gt;500,"High","Low")</f>
        <v>Low</v>
      </c>
      <c r="W455" s="111">
        <f t="shared" ca="1" si="14"/>
        <v>46152.63727835648</v>
      </c>
      <c r="X455">
        <f>DATEDIF(data[[#This Row],[Order Date]], data[[#This Row],[Ship Date]], "d")</f>
        <v>4</v>
      </c>
      <c r="Y455">
        <f t="shared" ca="1" si="15"/>
        <v>2026</v>
      </c>
      <c r="Z455" s="159">
        <f>EOMONTH(data[[#This Row],[Order Date]],0)</f>
        <v>43039</v>
      </c>
      <c r="AA455" s="159" t="str">
        <f>LEFT(data[[#This Row],[Customer Name]],3)</f>
        <v xml:space="preserve">Ed </v>
      </c>
    </row>
    <row r="456" spans="1:27"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IF(data[[#This Row],[Sales]]&gt;500,"High","Low")</f>
        <v>High</v>
      </c>
      <c r="W456" s="111">
        <f t="shared" ca="1" si="14"/>
        <v>46152.63727835648</v>
      </c>
      <c r="X456">
        <f>DATEDIF(data[[#This Row],[Order Date]], data[[#This Row],[Ship Date]], "d")</f>
        <v>4</v>
      </c>
      <c r="Y456">
        <f t="shared" ca="1" si="15"/>
        <v>2026</v>
      </c>
      <c r="Z456" s="159">
        <f>EOMONTH(data[[#This Row],[Order Date]],0)</f>
        <v>43039</v>
      </c>
      <c r="AA456" s="159" t="str">
        <f>LEFT(data[[#This Row],[Customer Name]],3)</f>
        <v xml:space="preserve">Ed </v>
      </c>
    </row>
    <row r="457" spans="1:27"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IF(data[[#This Row],[Sales]]&gt;500,"High","Low")</f>
        <v>Low</v>
      </c>
      <c r="W457" s="111">
        <f t="shared" ca="1" si="14"/>
        <v>46152.63727835648</v>
      </c>
      <c r="X457">
        <f>DATEDIF(data[[#This Row],[Order Date]], data[[#This Row],[Ship Date]], "d")</f>
        <v>4</v>
      </c>
      <c r="Y457">
        <f t="shared" ca="1" si="15"/>
        <v>2026</v>
      </c>
      <c r="Z457" s="159">
        <f>EOMONTH(data[[#This Row],[Order Date]],0)</f>
        <v>42735</v>
      </c>
      <c r="AA457" s="159" t="str">
        <f>LEFT(data[[#This Row],[Customer Name]],3)</f>
        <v>Ken</v>
      </c>
    </row>
    <row r="458" spans="1:27"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IF(data[[#This Row],[Sales]]&gt;500,"High","Low")</f>
        <v>Low</v>
      </c>
      <c r="W458" s="111">
        <f t="shared" ca="1" si="14"/>
        <v>46152.63727835648</v>
      </c>
      <c r="X458">
        <f>DATEDIF(data[[#This Row],[Order Date]], data[[#This Row],[Ship Date]], "d")</f>
        <v>6</v>
      </c>
      <c r="Y458">
        <f t="shared" ca="1" si="15"/>
        <v>2026</v>
      </c>
      <c r="Z458" s="159">
        <f>EOMONTH(data[[#This Row],[Order Date]],0)</f>
        <v>41698</v>
      </c>
      <c r="AA458" s="159" t="str">
        <f>LEFT(data[[#This Row],[Customer Name]],3)</f>
        <v>San</v>
      </c>
    </row>
    <row r="459" spans="1:27"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IF(data[[#This Row],[Sales]]&gt;500,"High","Low")</f>
        <v>High</v>
      </c>
      <c r="W459" s="111">
        <f t="shared" ca="1" si="14"/>
        <v>46152.63727835648</v>
      </c>
      <c r="X459">
        <f>DATEDIF(data[[#This Row],[Order Date]], data[[#This Row],[Ship Date]], "d")</f>
        <v>5</v>
      </c>
      <c r="Y459">
        <f t="shared" ca="1" si="15"/>
        <v>2026</v>
      </c>
      <c r="Z459" s="159">
        <f>EOMONTH(data[[#This Row],[Order Date]],0)</f>
        <v>42643</v>
      </c>
      <c r="AA459" s="159" t="str">
        <f>LEFT(data[[#This Row],[Customer Name]],3)</f>
        <v>Nat</v>
      </c>
    </row>
    <row r="460" spans="1:27"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IF(data[[#This Row],[Sales]]&gt;500,"High","Low")</f>
        <v>Low</v>
      </c>
      <c r="W460" s="111">
        <f t="shared" ca="1" si="14"/>
        <v>46152.63727835648</v>
      </c>
      <c r="X460">
        <f>DATEDIF(data[[#This Row],[Order Date]], data[[#This Row],[Ship Date]], "d")</f>
        <v>5</v>
      </c>
      <c r="Y460">
        <f t="shared" ca="1" si="15"/>
        <v>2026</v>
      </c>
      <c r="Z460" s="159">
        <f>EOMONTH(data[[#This Row],[Order Date]],0)</f>
        <v>42643</v>
      </c>
      <c r="AA460" s="159" t="str">
        <f>LEFT(data[[#This Row],[Customer Name]],3)</f>
        <v>Nat</v>
      </c>
    </row>
    <row r="461" spans="1:27"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IF(data[[#This Row],[Sales]]&gt;500,"High","Low")</f>
        <v>Low</v>
      </c>
      <c r="W461" s="111">
        <f t="shared" ca="1" si="14"/>
        <v>46152.63727835648</v>
      </c>
      <c r="X461">
        <f>DATEDIF(data[[#This Row],[Order Date]], data[[#This Row],[Ship Date]], "d")</f>
        <v>7</v>
      </c>
      <c r="Y461">
        <f t="shared" ca="1" si="15"/>
        <v>2026</v>
      </c>
      <c r="Z461" s="159">
        <f>EOMONTH(data[[#This Row],[Order Date]],0)</f>
        <v>42369</v>
      </c>
      <c r="AA461" s="159" t="str">
        <f>LEFT(data[[#This Row],[Customer Name]],3)</f>
        <v>Jos</v>
      </c>
    </row>
    <row r="462" spans="1:27"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IF(data[[#This Row],[Sales]]&gt;500,"High","Low")</f>
        <v>High</v>
      </c>
      <c r="W462" s="111">
        <f t="shared" ca="1" si="14"/>
        <v>46152.63727835648</v>
      </c>
      <c r="X462">
        <f>DATEDIF(data[[#This Row],[Order Date]], data[[#This Row],[Ship Date]], "d")</f>
        <v>7</v>
      </c>
      <c r="Y462">
        <f t="shared" ca="1" si="15"/>
        <v>2026</v>
      </c>
      <c r="Z462" s="159">
        <f>EOMONTH(data[[#This Row],[Order Date]],0)</f>
        <v>42369</v>
      </c>
      <c r="AA462" s="159" t="str">
        <f>LEFT(data[[#This Row],[Customer Name]],3)</f>
        <v>Jos</v>
      </c>
    </row>
    <row r="463" spans="1:27"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IF(data[[#This Row],[Sales]]&gt;500,"High","Low")</f>
        <v>Low</v>
      </c>
      <c r="W463" s="111">
        <f t="shared" ca="1" si="14"/>
        <v>46152.63727835648</v>
      </c>
      <c r="X463">
        <f>DATEDIF(data[[#This Row],[Order Date]], data[[#This Row],[Ship Date]], "d")</f>
        <v>7</v>
      </c>
      <c r="Y463">
        <f t="shared" ca="1" si="15"/>
        <v>2026</v>
      </c>
      <c r="Z463" s="159">
        <f>EOMONTH(data[[#This Row],[Order Date]],0)</f>
        <v>42369</v>
      </c>
      <c r="AA463" s="159" t="str">
        <f>LEFT(data[[#This Row],[Customer Name]],3)</f>
        <v>Jos</v>
      </c>
    </row>
    <row r="464" spans="1:27"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IF(data[[#This Row],[Sales]]&gt;500,"High","Low")</f>
        <v>Low</v>
      </c>
      <c r="W464" s="111">
        <f t="shared" ca="1" si="14"/>
        <v>46152.63727835648</v>
      </c>
      <c r="X464">
        <f>DATEDIF(data[[#This Row],[Order Date]], data[[#This Row],[Ship Date]], "d")</f>
        <v>7</v>
      </c>
      <c r="Y464">
        <f t="shared" ca="1" si="15"/>
        <v>2026</v>
      </c>
      <c r="Z464" s="159">
        <f>EOMONTH(data[[#This Row],[Order Date]],0)</f>
        <v>42490</v>
      </c>
      <c r="AA464" s="159" t="str">
        <f>LEFT(data[[#This Row],[Customer Name]],3)</f>
        <v>Tan</v>
      </c>
    </row>
    <row r="465" spans="1:27"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IF(data[[#This Row],[Sales]]&gt;500,"High","Low")</f>
        <v>High</v>
      </c>
      <c r="W465" s="111">
        <f t="shared" ca="1" si="14"/>
        <v>46152.63727835648</v>
      </c>
      <c r="X465">
        <f>DATEDIF(data[[#This Row],[Order Date]], data[[#This Row],[Ship Date]], "d")</f>
        <v>7</v>
      </c>
      <c r="Y465">
        <f t="shared" ca="1" si="15"/>
        <v>2026</v>
      </c>
      <c r="Z465" s="159">
        <f>EOMONTH(data[[#This Row],[Order Date]],0)</f>
        <v>42490</v>
      </c>
      <c r="AA465" s="159" t="str">
        <f>LEFT(data[[#This Row],[Customer Name]],3)</f>
        <v>Tan</v>
      </c>
    </row>
    <row r="466" spans="1:27"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IF(data[[#This Row],[Sales]]&gt;500,"High","Low")</f>
        <v>Low</v>
      </c>
      <c r="W466" s="111">
        <f t="shared" ca="1" si="14"/>
        <v>46152.63727835648</v>
      </c>
      <c r="X466">
        <f>DATEDIF(data[[#This Row],[Order Date]], data[[#This Row],[Ship Date]], "d")</f>
        <v>7</v>
      </c>
      <c r="Y466">
        <f t="shared" ca="1" si="15"/>
        <v>2026</v>
      </c>
      <c r="Z466" s="159">
        <f>EOMONTH(data[[#This Row],[Order Date]],0)</f>
        <v>42490</v>
      </c>
      <c r="AA466" s="159" t="str">
        <f>LEFT(data[[#This Row],[Customer Name]],3)</f>
        <v>Tan</v>
      </c>
    </row>
    <row r="467" spans="1:27"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IF(data[[#This Row],[Sales]]&gt;500,"High","Low")</f>
        <v>Low</v>
      </c>
      <c r="W467" s="111">
        <f t="shared" ca="1" si="14"/>
        <v>46152.63727835648</v>
      </c>
      <c r="X467">
        <f>DATEDIF(data[[#This Row],[Order Date]], data[[#This Row],[Ship Date]], "d")</f>
        <v>7</v>
      </c>
      <c r="Y467">
        <f t="shared" ca="1" si="15"/>
        <v>2026</v>
      </c>
      <c r="Z467" s="159">
        <f>EOMONTH(data[[#This Row],[Order Date]],0)</f>
        <v>42490</v>
      </c>
      <c r="AA467" s="159" t="str">
        <f>LEFT(data[[#This Row],[Customer Name]],3)</f>
        <v>Tan</v>
      </c>
    </row>
    <row r="468" spans="1:27"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IF(data[[#This Row],[Sales]]&gt;500,"High","Low")</f>
        <v>Low</v>
      </c>
      <c r="W468" s="111">
        <f t="shared" ca="1" si="14"/>
        <v>46152.63727835648</v>
      </c>
      <c r="X468">
        <f>DATEDIF(data[[#This Row],[Order Date]], data[[#This Row],[Ship Date]], "d")</f>
        <v>7</v>
      </c>
      <c r="Y468">
        <f t="shared" ca="1" si="15"/>
        <v>2026</v>
      </c>
      <c r="Z468" s="159">
        <f>EOMONTH(data[[#This Row],[Order Date]],0)</f>
        <v>42490</v>
      </c>
      <c r="AA468" s="159" t="str">
        <f>LEFT(data[[#This Row],[Customer Name]],3)</f>
        <v>Tan</v>
      </c>
    </row>
    <row r="469" spans="1:27"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IF(data[[#This Row],[Sales]]&gt;500,"High","Low")</f>
        <v>Low</v>
      </c>
      <c r="W469" s="111">
        <f t="shared" ca="1" si="14"/>
        <v>46152.63727835648</v>
      </c>
      <c r="X469">
        <f>DATEDIF(data[[#This Row],[Order Date]], data[[#This Row],[Ship Date]], "d")</f>
        <v>7</v>
      </c>
      <c r="Y469">
        <f t="shared" ca="1" si="15"/>
        <v>2026</v>
      </c>
      <c r="Z469" s="159">
        <f>EOMONTH(data[[#This Row],[Order Date]],0)</f>
        <v>42035</v>
      </c>
      <c r="AA469" s="159" t="str">
        <f>LEFT(data[[#This Row],[Customer Name]],3)</f>
        <v>Jon</v>
      </c>
    </row>
    <row r="470" spans="1:27"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IF(data[[#This Row],[Sales]]&gt;500,"High","Low")</f>
        <v>Low</v>
      </c>
      <c r="W470" s="111">
        <f t="shared" ca="1" si="14"/>
        <v>46152.63727835648</v>
      </c>
      <c r="X470">
        <f>DATEDIF(data[[#This Row],[Order Date]], data[[#This Row],[Ship Date]], "d")</f>
        <v>4</v>
      </c>
      <c r="Y470">
        <f t="shared" ca="1" si="15"/>
        <v>2026</v>
      </c>
      <c r="Z470" s="159">
        <f>EOMONTH(data[[#This Row],[Order Date]],0)</f>
        <v>42825</v>
      </c>
      <c r="AA470" s="159" t="str">
        <f>LEFT(data[[#This Row],[Customer Name]],3)</f>
        <v>Dav</v>
      </c>
    </row>
    <row r="471" spans="1:27"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IF(data[[#This Row],[Sales]]&gt;500,"High","Low")</f>
        <v>Low</v>
      </c>
      <c r="W471" s="111">
        <f t="shared" ca="1" si="14"/>
        <v>46152.63727835648</v>
      </c>
      <c r="X471">
        <f>DATEDIF(data[[#This Row],[Order Date]], data[[#This Row],[Ship Date]], "d")</f>
        <v>4</v>
      </c>
      <c r="Y471">
        <f t="shared" ca="1" si="15"/>
        <v>2026</v>
      </c>
      <c r="Z471" s="159">
        <f>EOMONTH(data[[#This Row],[Order Date]],0)</f>
        <v>42735</v>
      </c>
      <c r="AA471" s="159" t="str">
        <f>LEFT(data[[#This Row],[Customer Name]],3)</f>
        <v>Cra</v>
      </c>
    </row>
    <row r="472" spans="1:27"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IF(data[[#This Row],[Sales]]&gt;500,"High","Low")</f>
        <v>Low</v>
      </c>
      <c r="W472" s="111">
        <f t="shared" ca="1" si="14"/>
        <v>46152.63727835648</v>
      </c>
      <c r="X472">
        <f>DATEDIF(data[[#This Row],[Order Date]], data[[#This Row],[Ship Date]], "d")</f>
        <v>4</v>
      </c>
      <c r="Y472">
        <f t="shared" ca="1" si="15"/>
        <v>2026</v>
      </c>
      <c r="Z472" s="159">
        <f>EOMONTH(data[[#This Row],[Order Date]],0)</f>
        <v>42369</v>
      </c>
      <c r="AA472" s="159" t="str">
        <f>LEFT(data[[#This Row],[Customer Name]],3)</f>
        <v>May</v>
      </c>
    </row>
    <row r="473" spans="1:27"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IF(data[[#This Row],[Sales]]&gt;500,"High","Low")</f>
        <v>Low</v>
      </c>
      <c r="W473" s="111">
        <f t="shared" ca="1" si="14"/>
        <v>46152.63727835648</v>
      </c>
      <c r="X473">
        <f>DATEDIF(data[[#This Row],[Order Date]], data[[#This Row],[Ship Date]], "d")</f>
        <v>2</v>
      </c>
      <c r="Y473">
        <f t="shared" ca="1" si="15"/>
        <v>2026</v>
      </c>
      <c r="Z473" s="159">
        <f>EOMONTH(data[[#This Row],[Order Date]],0)</f>
        <v>41973</v>
      </c>
      <c r="AA473" s="159" t="str">
        <f>LEFT(data[[#This Row],[Customer Name]],3)</f>
        <v>Jer</v>
      </c>
    </row>
    <row r="474" spans="1:27"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IF(data[[#This Row],[Sales]]&gt;500,"High","Low")</f>
        <v>Low</v>
      </c>
      <c r="W474" s="111">
        <f t="shared" ca="1" si="14"/>
        <v>46152.63727835648</v>
      </c>
      <c r="X474">
        <f>DATEDIF(data[[#This Row],[Order Date]], data[[#This Row],[Ship Date]], "d")</f>
        <v>2</v>
      </c>
      <c r="Y474">
        <f t="shared" ca="1" si="15"/>
        <v>2026</v>
      </c>
      <c r="Z474" s="159">
        <f>EOMONTH(data[[#This Row],[Order Date]],0)</f>
        <v>41973</v>
      </c>
      <c r="AA474" s="159" t="str">
        <f>LEFT(data[[#This Row],[Customer Name]],3)</f>
        <v>Jer</v>
      </c>
    </row>
    <row r="475" spans="1:27"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IF(data[[#This Row],[Sales]]&gt;500,"High","Low")</f>
        <v>High</v>
      </c>
      <c r="W475" s="111">
        <f t="shared" ca="1" si="14"/>
        <v>46152.63727835648</v>
      </c>
      <c r="X475">
        <f>DATEDIF(data[[#This Row],[Order Date]], data[[#This Row],[Ship Date]], "d")</f>
        <v>2</v>
      </c>
      <c r="Y475">
        <f t="shared" ca="1" si="15"/>
        <v>2026</v>
      </c>
      <c r="Z475" s="159">
        <f>EOMONTH(data[[#This Row],[Order Date]],0)</f>
        <v>41973</v>
      </c>
      <c r="AA475" s="159" t="str">
        <f>LEFT(data[[#This Row],[Customer Name]],3)</f>
        <v>Jer</v>
      </c>
    </row>
    <row r="476" spans="1:27"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IF(data[[#This Row],[Sales]]&gt;500,"High","Low")</f>
        <v>Low</v>
      </c>
      <c r="W476" s="111">
        <f t="shared" ca="1" si="14"/>
        <v>46152.63727835648</v>
      </c>
      <c r="X476">
        <f>DATEDIF(data[[#This Row],[Order Date]], data[[#This Row],[Ship Date]], "d")</f>
        <v>2</v>
      </c>
      <c r="Y476">
        <f t="shared" ca="1" si="15"/>
        <v>2026</v>
      </c>
      <c r="Z476" s="159">
        <f>EOMONTH(data[[#This Row],[Order Date]],0)</f>
        <v>41973</v>
      </c>
      <c r="AA476" s="159" t="str">
        <f>LEFT(data[[#This Row],[Customer Name]],3)</f>
        <v>Jer</v>
      </c>
    </row>
    <row r="477" spans="1:27"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IF(data[[#This Row],[Sales]]&gt;500,"High","Low")</f>
        <v>Low</v>
      </c>
      <c r="W477" s="111">
        <f t="shared" ca="1" si="14"/>
        <v>46152.63727835648</v>
      </c>
      <c r="X477">
        <f>DATEDIF(data[[#This Row],[Order Date]], data[[#This Row],[Ship Date]], "d")</f>
        <v>2</v>
      </c>
      <c r="Y477">
        <f t="shared" ca="1" si="15"/>
        <v>2026</v>
      </c>
      <c r="Z477" s="159">
        <f>EOMONTH(data[[#This Row],[Order Date]],0)</f>
        <v>41973</v>
      </c>
      <c r="AA477" s="159" t="str">
        <f>LEFT(data[[#This Row],[Customer Name]],3)</f>
        <v>Jer</v>
      </c>
    </row>
    <row r="478" spans="1:27"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IF(data[[#This Row],[Sales]]&gt;500,"High","Low")</f>
        <v>Low</v>
      </c>
      <c r="W478" s="111">
        <f t="shared" ca="1" si="14"/>
        <v>46152.63727835648</v>
      </c>
      <c r="X478">
        <f>DATEDIF(data[[#This Row],[Order Date]], data[[#This Row],[Ship Date]], "d")</f>
        <v>2</v>
      </c>
      <c r="Y478">
        <f t="shared" ca="1" si="15"/>
        <v>2026</v>
      </c>
      <c r="Z478" s="159">
        <f>EOMONTH(data[[#This Row],[Order Date]],0)</f>
        <v>41973</v>
      </c>
      <c r="AA478" s="159" t="str">
        <f>LEFT(data[[#This Row],[Customer Name]],3)</f>
        <v>Jer</v>
      </c>
    </row>
    <row r="479" spans="1:27"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IF(data[[#This Row],[Sales]]&gt;500,"High","Low")</f>
        <v>Low</v>
      </c>
      <c r="W479" s="111">
        <f t="shared" ca="1" si="14"/>
        <v>46152.63727835648</v>
      </c>
      <c r="X479">
        <f>DATEDIF(data[[#This Row],[Order Date]], data[[#This Row],[Ship Date]], "d")</f>
        <v>7</v>
      </c>
      <c r="Y479">
        <f t="shared" ca="1" si="15"/>
        <v>2026</v>
      </c>
      <c r="Z479" s="159">
        <f>EOMONTH(data[[#This Row],[Order Date]],0)</f>
        <v>42582</v>
      </c>
      <c r="AA479" s="159" t="str">
        <f>LEFT(data[[#This Row],[Customer Name]],3)</f>
        <v>Kri</v>
      </c>
    </row>
    <row r="480" spans="1:27"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IF(data[[#This Row],[Sales]]&gt;500,"High","Low")</f>
        <v>Low</v>
      </c>
      <c r="W480" s="111">
        <f t="shared" ca="1" si="14"/>
        <v>46152.63727835648</v>
      </c>
      <c r="X480">
        <f>DATEDIF(data[[#This Row],[Order Date]], data[[#This Row],[Ship Date]], "d")</f>
        <v>6</v>
      </c>
      <c r="Y480">
        <f t="shared" ca="1" si="15"/>
        <v>2026</v>
      </c>
      <c r="Z480" s="159">
        <f>EOMONTH(data[[#This Row],[Order Date]],0)</f>
        <v>42674</v>
      </c>
      <c r="AA480" s="159" t="str">
        <f>LEFT(data[[#This Row],[Customer Name]],3)</f>
        <v>Jer</v>
      </c>
    </row>
    <row r="481" spans="1:27"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IF(data[[#This Row],[Sales]]&gt;500,"High","Low")</f>
        <v>Low</v>
      </c>
      <c r="W481" s="111">
        <f t="shared" ca="1" si="14"/>
        <v>46152.63727835648</v>
      </c>
      <c r="X481">
        <f>DATEDIF(data[[#This Row],[Order Date]], data[[#This Row],[Ship Date]], "d")</f>
        <v>6</v>
      </c>
      <c r="Y481">
        <f t="shared" ca="1" si="15"/>
        <v>2026</v>
      </c>
      <c r="Z481" s="159">
        <f>EOMONTH(data[[#This Row],[Order Date]],0)</f>
        <v>42551</v>
      </c>
      <c r="AA481" s="159" t="str">
        <f>LEFT(data[[#This Row],[Customer Name]],3)</f>
        <v>Joh</v>
      </c>
    </row>
    <row r="482" spans="1:27"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IF(data[[#This Row],[Sales]]&gt;500,"High","Low")</f>
        <v>High</v>
      </c>
      <c r="W482" s="111">
        <f t="shared" ca="1" si="14"/>
        <v>46152.63727835648</v>
      </c>
      <c r="X482">
        <f>DATEDIF(data[[#This Row],[Order Date]], data[[#This Row],[Ship Date]], "d")</f>
        <v>6</v>
      </c>
      <c r="Y482">
        <f t="shared" ca="1" si="15"/>
        <v>2026</v>
      </c>
      <c r="Z482" s="159">
        <f>EOMONTH(data[[#This Row],[Order Date]],0)</f>
        <v>42551</v>
      </c>
      <c r="AA482" s="159" t="str">
        <f>LEFT(data[[#This Row],[Customer Name]],3)</f>
        <v>Joh</v>
      </c>
    </row>
    <row r="483" spans="1:27"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IF(data[[#This Row],[Sales]]&gt;500,"High","Low")</f>
        <v>Low</v>
      </c>
      <c r="W483" s="111">
        <f t="shared" ca="1" si="14"/>
        <v>46152.63727835648</v>
      </c>
      <c r="X483">
        <f>DATEDIF(data[[#This Row],[Order Date]], data[[#This Row],[Ship Date]], "d")</f>
        <v>4</v>
      </c>
      <c r="Y483">
        <f t="shared" ca="1" si="15"/>
        <v>2026</v>
      </c>
      <c r="Z483" s="159">
        <f>EOMONTH(data[[#This Row],[Order Date]],0)</f>
        <v>41943</v>
      </c>
      <c r="AA483" s="159" t="str">
        <f>LEFT(data[[#This Row],[Customer Name]],3)</f>
        <v>Xyl</v>
      </c>
    </row>
    <row r="484" spans="1:27"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IF(data[[#This Row],[Sales]]&gt;500,"High","Low")</f>
        <v>Low</v>
      </c>
      <c r="W484" s="111">
        <f t="shared" ca="1" si="14"/>
        <v>46152.63727835648</v>
      </c>
      <c r="X484">
        <f>DATEDIF(data[[#This Row],[Order Date]], data[[#This Row],[Ship Date]], "d")</f>
        <v>5</v>
      </c>
      <c r="Y484">
        <f t="shared" ca="1" si="15"/>
        <v>2026</v>
      </c>
      <c r="Z484" s="159">
        <f>EOMONTH(data[[#This Row],[Order Date]],0)</f>
        <v>41851</v>
      </c>
      <c r="AA484" s="159" t="str">
        <f>LEFT(data[[#This Row],[Customer Name]],3)</f>
        <v>Eri</v>
      </c>
    </row>
    <row r="485" spans="1:27"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IF(data[[#This Row],[Sales]]&gt;500,"High","Low")</f>
        <v>Low</v>
      </c>
      <c r="W485" s="111">
        <f t="shared" ca="1" si="14"/>
        <v>46152.63727835648</v>
      </c>
      <c r="X485">
        <f>DATEDIF(data[[#This Row],[Order Date]], data[[#This Row],[Ship Date]], "d")</f>
        <v>5</v>
      </c>
      <c r="Y485">
        <f t="shared" ca="1" si="15"/>
        <v>2026</v>
      </c>
      <c r="Z485" s="159">
        <f>EOMONTH(data[[#This Row],[Order Date]],0)</f>
        <v>41851</v>
      </c>
      <c r="AA485" s="159" t="str">
        <f>LEFT(data[[#This Row],[Customer Name]],3)</f>
        <v>Eri</v>
      </c>
    </row>
    <row r="486" spans="1:27"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IF(data[[#This Row],[Sales]]&gt;500,"High","Low")</f>
        <v>Low</v>
      </c>
      <c r="W486" s="111">
        <f t="shared" ca="1" si="14"/>
        <v>46152.63727835648</v>
      </c>
      <c r="X486">
        <f>DATEDIF(data[[#This Row],[Order Date]], data[[#This Row],[Ship Date]], "d")</f>
        <v>3</v>
      </c>
      <c r="Y486">
        <f t="shared" ca="1" si="15"/>
        <v>2026</v>
      </c>
      <c r="Z486" s="159">
        <f>EOMONTH(data[[#This Row],[Order Date]],0)</f>
        <v>42916</v>
      </c>
      <c r="AA486" s="159" t="str">
        <f>LEFT(data[[#This Row],[Customer Name]],3)</f>
        <v>Mic</v>
      </c>
    </row>
    <row r="487" spans="1:27"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IF(data[[#This Row],[Sales]]&gt;500,"High","Low")</f>
        <v>High</v>
      </c>
      <c r="W487" s="111">
        <f t="shared" ca="1" si="14"/>
        <v>46152.63727835648</v>
      </c>
      <c r="X487">
        <f>DATEDIF(data[[#This Row],[Order Date]], data[[#This Row],[Ship Date]], "d")</f>
        <v>3</v>
      </c>
      <c r="Y487">
        <f t="shared" ca="1" si="15"/>
        <v>2026</v>
      </c>
      <c r="Z487" s="159">
        <f>EOMONTH(data[[#This Row],[Order Date]],0)</f>
        <v>42916</v>
      </c>
      <c r="AA487" s="159" t="str">
        <f>LEFT(data[[#This Row],[Customer Name]],3)</f>
        <v>Mic</v>
      </c>
    </row>
    <row r="488" spans="1:27"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IF(data[[#This Row],[Sales]]&gt;500,"High","Low")</f>
        <v>Low</v>
      </c>
      <c r="W488" s="111">
        <f t="shared" ca="1" si="14"/>
        <v>46152.63727835648</v>
      </c>
      <c r="X488">
        <f>DATEDIF(data[[#This Row],[Order Date]], data[[#This Row],[Ship Date]], "d")</f>
        <v>3</v>
      </c>
      <c r="Y488">
        <f t="shared" ca="1" si="15"/>
        <v>2026</v>
      </c>
      <c r="Z488" s="159">
        <f>EOMONTH(data[[#This Row],[Order Date]],0)</f>
        <v>42916</v>
      </c>
      <c r="AA488" s="159" t="str">
        <f>LEFT(data[[#This Row],[Customer Name]],3)</f>
        <v>Mic</v>
      </c>
    </row>
    <row r="489" spans="1:27"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IF(data[[#This Row],[Sales]]&gt;500,"High","Low")</f>
        <v>High</v>
      </c>
      <c r="W489" s="111">
        <f t="shared" ca="1" si="14"/>
        <v>46152.63727835648</v>
      </c>
      <c r="X489">
        <f>DATEDIF(data[[#This Row],[Order Date]], data[[#This Row],[Ship Date]], "d")</f>
        <v>2</v>
      </c>
      <c r="Y489">
        <f t="shared" ca="1" si="15"/>
        <v>2026</v>
      </c>
      <c r="Z489" s="159">
        <f>EOMONTH(data[[#This Row],[Order Date]],0)</f>
        <v>41943</v>
      </c>
      <c r="AA489" s="159" t="str">
        <f>LEFT(data[[#This Row],[Customer Name]],3)</f>
        <v>Sue</v>
      </c>
    </row>
    <row r="490" spans="1:27"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IF(data[[#This Row],[Sales]]&gt;500,"High","Low")</f>
        <v>Low</v>
      </c>
      <c r="W490" s="111">
        <f t="shared" ca="1" si="14"/>
        <v>46152.63727835648</v>
      </c>
      <c r="X490">
        <f>DATEDIF(data[[#This Row],[Order Date]], data[[#This Row],[Ship Date]], "d")</f>
        <v>4</v>
      </c>
      <c r="Y490">
        <f t="shared" ca="1" si="15"/>
        <v>2026</v>
      </c>
      <c r="Z490" s="159">
        <f>EOMONTH(data[[#This Row],[Order Date]],0)</f>
        <v>41820</v>
      </c>
      <c r="AA490" s="159" t="str">
        <f>LEFT(data[[#This Row],[Customer Name]],3)</f>
        <v>Car</v>
      </c>
    </row>
    <row r="491" spans="1:27"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IF(data[[#This Row],[Sales]]&gt;500,"High","Low")</f>
        <v>Low</v>
      </c>
      <c r="W491" s="111">
        <f t="shared" ca="1" si="14"/>
        <v>46152.63727835648</v>
      </c>
      <c r="X491">
        <f>DATEDIF(data[[#This Row],[Order Date]], data[[#This Row],[Ship Date]], "d")</f>
        <v>4</v>
      </c>
      <c r="Y491">
        <f t="shared" ca="1" si="15"/>
        <v>2026</v>
      </c>
      <c r="Z491" s="159">
        <f>EOMONTH(data[[#This Row],[Order Date]],0)</f>
        <v>41820</v>
      </c>
      <c r="AA491" s="159" t="str">
        <f>LEFT(data[[#This Row],[Customer Name]],3)</f>
        <v>Car</v>
      </c>
    </row>
    <row r="492" spans="1:27"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IF(data[[#This Row],[Sales]]&gt;500,"High","Low")</f>
        <v>Low</v>
      </c>
      <c r="W492" s="111">
        <f t="shared" ca="1" si="14"/>
        <v>46152.63727835648</v>
      </c>
      <c r="X492">
        <f>DATEDIF(data[[#This Row],[Order Date]], data[[#This Row],[Ship Date]], "d")</f>
        <v>4</v>
      </c>
      <c r="Y492">
        <f t="shared" ca="1" si="15"/>
        <v>2026</v>
      </c>
      <c r="Z492" s="159">
        <f>EOMONTH(data[[#This Row],[Order Date]],0)</f>
        <v>41820</v>
      </c>
      <c r="AA492" s="159" t="str">
        <f>LEFT(data[[#This Row],[Customer Name]],3)</f>
        <v>Car</v>
      </c>
    </row>
    <row r="493" spans="1:27"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IF(data[[#This Row],[Sales]]&gt;500,"High","Low")</f>
        <v>Low</v>
      </c>
      <c r="W493" s="111">
        <f t="shared" ca="1" si="14"/>
        <v>46152.63727835648</v>
      </c>
      <c r="X493">
        <f>DATEDIF(data[[#This Row],[Order Date]], data[[#This Row],[Ship Date]], "d")</f>
        <v>5</v>
      </c>
      <c r="Y493">
        <f t="shared" ca="1" si="15"/>
        <v>2026</v>
      </c>
      <c r="Z493" s="159">
        <f>EOMONTH(data[[#This Row],[Order Date]],0)</f>
        <v>41912</v>
      </c>
      <c r="AA493" s="159" t="str">
        <f>LEFT(data[[#This Row],[Customer Name]],3)</f>
        <v>Ast</v>
      </c>
    </row>
    <row r="494" spans="1:27"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IF(data[[#This Row],[Sales]]&gt;500,"High","Low")</f>
        <v>Low</v>
      </c>
      <c r="W494" s="111">
        <f t="shared" ca="1" si="14"/>
        <v>46152.63727835648</v>
      </c>
      <c r="X494">
        <f>DATEDIF(data[[#This Row],[Order Date]], data[[#This Row],[Ship Date]], "d")</f>
        <v>5</v>
      </c>
      <c r="Y494">
        <f t="shared" ca="1" si="15"/>
        <v>2026</v>
      </c>
      <c r="Z494" s="159">
        <f>EOMONTH(data[[#This Row],[Order Date]],0)</f>
        <v>41912</v>
      </c>
      <c r="AA494" s="159" t="str">
        <f>LEFT(data[[#This Row],[Customer Name]],3)</f>
        <v>Ast</v>
      </c>
    </row>
    <row r="495" spans="1:27"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IF(data[[#This Row],[Sales]]&gt;500,"High","Low")</f>
        <v>Low</v>
      </c>
      <c r="W495" s="111">
        <f t="shared" ca="1" si="14"/>
        <v>46152.63727835648</v>
      </c>
      <c r="X495">
        <f>DATEDIF(data[[#This Row],[Order Date]], data[[#This Row],[Ship Date]], "d")</f>
        <v>5</v>
      </c>
      <c r="Y495">
        <f t="shared" ca="1" si="15"/>
        <v>2026</v>
      </c>
      <c r="Z495" s="159">
        <f>EOMONTH(data[[#This Row],[Order Date]],0)</f>
        <v>42521</v>
      </c>
      <c r="AA495" s="159" t="str">
        <f>LEFT(data[[#This Row],[Customer Name]],3)</f>
        <v>Son</v>
      </c>
    </row>
    <row r="496" spans="1:27"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IF(data[[#This Row],[Sales]]&gt;500,"High","Low")</f>
        <v>Low</v>
      </c>
      <c r="W496" s="111">
        <f t="shared" ca="1" si="14"/>
        <v>46152.63727835648</v>
      </c>
      <c r="X496">
        <f>DATEDIF(data[[#This Row],[Order Date]], data[[#This Row],[Ship Date]], "d")</f>
        <v>3</v>
      </c>
      <c r="Y496">
        <f t="shared" ca="1" si="15"/>
        <v>2026</v>
      </c>
      <c r="Z496" s="159">
        <f>EOMONTH(data[[#This Row],[Order Date]],0)</f>
        <v>42460</v>
      </c>
      <c r="AA496" s="159" t="str">
        <f>LEFT(data[[#This Row],[Customer Name]],3)</f>
        <v>Ros</v>
      </c>
    </row>
    <row r="497" spans="1:27"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IF(data[[#This Row],[Sales]]&gt;500,"High","Low")</f>
        <v>Low</v>
      </c>
      <c r="W497" s="111">
        <f t="shared" ca="1" si="14"/>
        <v>46152.63727835648</v>
      </c>
      <c r="X497">
        <f>DATEDIF(data[[#This Row],[Order Date]], data[[#This Row],[Ship Date]], "d")</f>
        <v>4</v>
      </c>
      <c r="Y497">
        <f t="shared" ca="1" si="15"/>
        <v>2026</v>
      </c>
      <c r="Z497" s="159">
        <f>EOMONTH(data[[#This Row],[Order Date]],0)</f>
        <v>42369</v>
      </c>
      <c r="AA497" s="159" t="str">
        <f>LEFT(data[[#This Row],[Customer Name]],3)</f>
        <v>Mar</v>
      </c>
    </row>
    <row r="498" spans="1:27"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IF(data[[#This Row],[Sales]]&gt;500,"High","Low")</f>
        <v>Low</v>
      </c>
      <c r="W498" s="111">
        <f t="shared" ca="1" si="14"/>
        <v>46152.63727835648</v>
      </c>
      <c r="X498">
        <f>DATEDIF(data[[#This Row],[Order Date]], data[[#This Row],[Ship Date]], "d")</f>
        <v>6</v>
      </c>
      <c r="Y498">
        <f t="shared" ca="1" si="15"/>
        <v>2026</v>
      </c>
      <c r="Z498" s="159">
        <f>EOMONTH(data[[#This Row],[Order Date]],0)</f>
        <v>42582</v>
      </c>
      <c r="AA498" s="159" t="str">
        <f>LEFT(data[[#This Row],[Customer Name]],3)</f>
        <v>San</v>
      </c>
    </row>
    <row r="499" spans="1:27"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IF(data[[#This Row],[Sales]]&gt;500,"High","Low")</f>
        <v>Low</v>
      </c>
      <c r="W499" s="111">
        <f t="shared" ca="1" si="14"/>
        <v>46152.63727835648</v>
      </c>
      <c r="X499">
        <f>DATEDIF(data[[#This Row],[Order Date]], data[[#This Row],[Ship Date]], "d")</f>
        <v>6</v>
      </c>
      <c r="Y499">
        <f t="shared" ca="1" si="15"/>
        <v>2026</v>
      </c>
      <c r="Z499" s="159">
        <f>EOMONTH(data[[#This Row],[Order Date]],0)</f>
        <v>42582</v>
      </c>
      <c r="AA499" s="159" t="str">
        <f>LEFT(data[[#This Row],[Customer Name]],3)</f>
        <v>San</v>
      </c>
    </row>
    <row r="500" spans="1:27"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IF(data[[#This Row],[Sales]]&gt;500,"High","Low")</f>
        <v>Low</v>
      </c>
      <c r="W500" s="111">
        <f t="shared" ca="1" si="14"/>
        <v>46152.63727835648</v>
      </c>
      <c r="X500">
        <f>DATEDIF(data[[#This Row],[Order Date]], data[[#This Row],[Ship Date]], "d")</f>
        <v>6</v>
      </c>
      <c r="Y500">
        <f t="shared" ca="1" si="15"/>
        <v>2026</v>
      </c>
      <c r="Z500" s="159">
        <f>EOMONTH(data[[#This Row],[Order Date]],0)</f>
        <v>42582</v>
      </c>
      <c r="AA500" s="159" t="str">
        <f>LEFT(data[[#This Row],[Customer Name]],3)</f>
        <v>San</v>
      </c>
    </row>
  </sheetData>
  <phoneticPr fontId="1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1858-94DF-4235-8324-F4180F40E706}">
  <dimension ref="A1:U500"/>
  <sheetViews>
    <sheetView workbookViewId="0">
      <selection activeCell="C20" sqref="C20"/>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6" width="11.1796875" bestFit="1" customWidth="1"/>
    <col min="7" max="7" width="20.1796875" bestFit="1" customWidth="1"/>
    <col min="8" max="8" width="11.1796875" bestFit="1" customWidth="1"/>
    <col min="9" max="9" width="11.81640625" bestFit="1" customWidth="1"/>
    <col min="10" max="10" width="15.7265625" bestFit="1" customWidth="1"/>
    <col min="11" max="11" width="13.179687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78.7265625" customWidth="1"/>
    <col min="18" max="18" width="9.81640625" bestFit="1" customWidth="1"/>
    <col min="19" max="19" width="10.81640625" customWidth="1"/>
    <col min="20" max="20" width="10.08984375" customWidth="1"/>
    <col min="21" max="21" width="11.816406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vt:lpstr>
      <vt:lpstr>Report</vt:lpstr>
      <vt:lpstr>DashBoard</vt:lpstr>
      <vt:lpstr>Analysis</vt:lpstr>
      <vt:lpstr>PivotTable</vt:lpstr>
      <vt:lpstr>Scenario Summary</vt:lpstr>
      <vt:lpstr>Linear Regression</vt:lpstr>
      <vt:lpstr>CleanData</vt:lpstr>
      <vt:lpstr>RowData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2026-05-10T05:55:51Z</dcterms:created>
  <dcterms:modified xsi:type="dcterms:W3CDTF">2026-05-10T09:47:40Z</dcterms:modified>
</cp:coreProperties>
</file>
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Project\"/>
    </mc:Choice>
  </mc:AlternateContent>
  <xr:revisionPtr revIDLastSave="0" documentId="8_{BDB05719-4B67-4848-99A8-4481D978D067}" xr6:coauthVersionLast="45" xr6:coauthVersionMax="45" xr10:uidLastSave="{00000000-0000-0000-0000-000000000000}"/>
  <bookViews>
    <workbookView xWindow="-110" yWindow="-110" windowWidth="19420" windowHeight="11020" xr2:uid="{0A71EAC8-F1FC-43C7-A1CA-E58EFFD81264}"/>
  </bookViews>
  <sheets>
    <sheet name="Students" sheetId="1" r:id="rId1"/>
    <sheet name="Sales" sheetId="2" r:id="rId2"/>
    <sheet name="Employee" sheetId="3" r:id="rId3"/>
    <sheet name="Analysi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H2" i="2"/>
  <c r="I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M2" i="2"/>
  <c r="L2" i="2"/>
  <c r="K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G2" i="3"/>
  <c r="F2" i="3"/>
  <c r="J2" i="2"/>
  <c r="I2" i="2"/>
  <c r="G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2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2" i="1"/>
  <c r="J2" i="1"/>
  <c r="H5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D2" i="4"/>
</calcChain>
</file>

<file path=xl/sharedStrings.xml><?xml version="1.0" encoding="utf-8"?>
<sst xmlns="http://schemas.openxmlformats.org/spreadsheetml/2006/main" count="162" uniqueCount="114">
  <si>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</si>
  <si>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</si>
  <si>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</si>
  <si>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</si>
  <si>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</si>
  <si>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</si>
  <si>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</si>
  <si>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</si>
  <si>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</si>
  <si>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</si>
  <si>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</si>
  <si>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</si>
  <si>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</si>
  <si>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</si>
  <si>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</si>
  <si>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</si>
  <si>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</si>
  <si>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</si>
  <si>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</si>
  <si>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</si>
  <si>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</si>
  <si>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</si>
  <si>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</si>
  <si>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</si>
  <si>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</si>
  <si>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</si>
  <si>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</si>
  <si>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</si>
  <si>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</si>
  <si>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</si>
  <si>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</si>
  <si>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</si>
  <si>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</si>
  <si>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</si>
  <si>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</si>
  <si>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</si>
  <si>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</si>
  <si>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</si>
  <si>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</si>
  <si>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</si>
  <si>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</si>
  <si>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</si>
  <si>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</si>
  <si>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</si>
  <si>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</si>
  <si>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</si>
  <si>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</si>
  <si>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</si>
  <si>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</si>
  <si>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</si>
  <si>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</si>
  <si>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</si>
  <si>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</si>
  <si>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</si>
  <si>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</si>
  <si>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</si>
  <si>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</si>
  <si>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</si>
  <si>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</si>
  <si>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</si>
  <si>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</si>
  <si>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</si>
  <si>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</si>
  <si>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</si>
  <si>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</si>
  <si>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</si>
  <si>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</si>
  <si>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</si>
  <si>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</si>
  <si>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</si>
  <si>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</si>
  <si>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</si>
  <si>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</si>
  <si>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</si>
  <si>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</si>
  <si>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</si>
  <si>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</si>
  <si>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</si>
  <si>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</si>
  <si>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</si>
  <si>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</si>
  <si>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</si>
  <si>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</si>
  <si>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</si>
  <si>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</si>
  <si>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</si>
  <si>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</si>
  <si>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</si>
  <si>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</si>
  <si>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Average</t>
  </si>
  <si>
    <t>Grade</t>
  </si>
  <si>
    <t>OR Condition</t>
  </si>
  <si>
    <t>Year</t>
  </si>
  <si>
    <t>Difference</t>
  </si>
  <si>
    <t>Score</t>
  </si>
  <si>
    <t>Student Name</t>
  </si>
  <si>
    <t>Name in UPPERCASE</t>
  </si>
  <si>
    <t>Total Sales</t>
  </si>
  <si>
    <t>Total Sales (East Region)</t>
  </si>
  <si>
    <t>Average Sales Above 20000</t>
  </si>
  <si>
    <t>Position of "Keyboard"</t>
  </si>
  <si>
    <t>Highest Salary</t>
  </si>
  <si>
    <t>No. of HR</t>
  </si>
  <si>
    <t>Experience</t>
  </si>
  <si>
    <t>Employee Salary (VLOOKUP)</t>
  </si>
  <si>
    <t>Employee Salary (INDEX MATCH)</t>
  </si>
  <si>
    <t>Top Student</t>
  </si>
  <si>
    <t>Error Handling (IFERROR)</t>
  </si>
  <si>
    <t>Indirect Reference</t>
  </si>
  <si>
    <t>Rounded Amount</t>
  </si>
  <si>
    <t>Ceiling Value</t>
  </si>
  <si>
    <t>Floor Value</t>
  </si>
  <si>
    <t>AND Condition</t>
  </si>
  <si>
    <t>Next Student (Offset)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</si>
</sst>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1" fillId="3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8DBF2489-3D38-432D-BE2F-9D0EE7FE6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DB52-96F7-4DBA-8B1E-38472B5BEFBA}">
  <dimension ref="A1:P24"/>
  <sheetViews>
    <sheetView tabSelected="1" zoomScale="90" zoomScaleNormal="90" workbookViewId="0">
      <selection activeCell="I3" sqref="I3"/>
    </sheetView>
  </sheetViews>
  <sheetFormatPr defaultRowHeight="14.5" x14ac:dyDescent="0.35"/>
  <cols>
    <col min="1" max="2" width="9.7265625" bestFit="1" customWidth="1"/>
    <col min="3" max="3" width="6.81640625" customWidth="1"/>
    <col min="6" max="6" width="17.81640625" bestFit="1" customWidth="1"/>
    <col min="9" max="9" width="8.6328125" customWidth="1"/>
    <col min="10" max="10" width="13.7265625" bestFit="1" customWidth="1"/>
    <col min="11" max="11" width="11.90625" bestFit="1" customWidth="1"/>
    <col min="12" max="12" width="13.90625" bestFit="1" customWidth="1"/>
    <col min="13" max="13" width="9.453125" bestFit="1" customWidth="1"/>
    <col min="14" max="14" width="12.90625" bestFit="1" customWidth="1"/>
    <col min="15" max="15" width="18.08984375" bestFit="1" customWidth="1"/>
    <col min="16" max="16" width="10.90625" bestFit="1" customWidth="1"/>
    <col min="17" max="17" width="9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2" t="s">
        <v>89</v>
      </c>
      <c r="H1" s="12" t="s">
        <v>90</v>
      </c>
      <c r="I1" s="12" t="s">
        <v>94</v>
      </c>
      <c r="J1" s="17" t="s">
        <v>112</v>
      </c>
      <c r="K1" s="12" t="s">
        <v>91</v>
      </c>
      <c r="L1" s="12" t="s">
        <v>92</v>
      </c>
      <c r="M1" s="12" t="s">
        <v>93</v>
      </c>
      <c r="N1" s="12" t="s">
        <v>95</v>
      </c>
      <c r="O1" s="12" t="s">
        <v>96</v>
      </c>
      <c r="P1" s="12" t="s">
        <v>106</v>
      </c>
    </row>
    <row r="2" spans="1:16" x14ac:dyDescent="0.35">
      <c r="A2" s="3">
        <v>1001</v>
      </c>
      <c r="B2" s="3" t="s">
        <v>6</v>
      </c>
      <c r="C2" s="3">
        <v>61</v>
      </c>
      <c r="D2" s="3">
        <v>48</v>
      </c>
      <c r="E2" s="3">
        <v>76</v>
      </c>
      <c r="F2" s="11">
        <v>43101</v>
      </c>
      <c r="G2" s="13">
        <f>AVERAGE(C2:E2)</f>
        <v>61.666666666666664</v>
      </c>
      <c r="H2" s="13" t="str">
        <f>IF(G2&gt;=80,"A",IF(G2&gt;=60,"B","C"))</f>
        <v>B</v>
      </c>
      <c r="I2" s="14">
        <f>COUNTIF($G$2:$G$21,"&gt;60")</f>
        <v>16</v>
      </c>
      <c r="J2" s="13" t="str">
        <f>IF(AND(C2&gt;80,D2&gt;80),"Top","Normal")</f>
        <v>Normal</v>
      </c>
      <c r="K2" s="13" t="str">
        <f>IF(OR(C2&gt;50,D2&gt;50),"Pass","Fail")</f>
        <v>Pass</v>
      </c>
      <c r="L2" s="13">
        <f>YEAR(F2)</f>
        <v>2018</v>
      </c>
      <c r="M2" s="13">
        <f ca="1">TODAY()-F2</f>
        <v>3032</v>
      </c>
      <c r="N2" s="13" t="str">
        <f>LEFT(B2,FIND(" ",B2)-1)</f>
        <v>Student</v>
      </c>
      <c r="O2" s="13" t="str">
        <f>UPPER(B2)</f>
        <v>STUDENT 1</v>
      </c>
      <c r="P2" s="13" t="str">
        <f>IF(G2&gt;80,"Top Student","-")</f>
        <v>-</v>
      </c>
    </row>
    <row r="3" spans="1:16" x14ac:dyDescent="0.35">
      <c r="A3" s="3">
        <v>1002</v>
      </c>
      <c r="B3" s="3" t="s">
        <v>7</v>
      </c>
      <c r="C3" s="3">
        <v>78</v>
      </c>
      <c r="D3" s="3">
        <v>76</v>
      </c>
      <c r="E3" s="3">
        <v>70</v>
      </c>
      <c r="F3" s="11">
        <v>43281</v>
      </c>
      <c r="G3" s="13">
        <f>AVERAGE(C3:E3)</f>
        <v>74.666666666666671</v>
      </c>
      <c r="H3" s="13" t="str">
        <f>IF(G3&gt;=80,"A",IF(G3&gt;=60,"B","C"))</f>
        <v>B</v>
      </c>
      <c r="I3" s="15"/>
      <c r="J3" s="15"/>
      <c r="K3" s="15"/>
      <c r="L3" s="13">
        <f t="shared" ref="L3:L23" si="0">YEAR(F3)</f>
        <v>2018</v>
      </c>
      <c r="M3" s="13">
        <f t="shared" ref="M3:M21" ca="1" si="1">TODAY()-F3</f>
        <v>2852</v>
      </c>
      <c r="N3" s="13" t="str">
        <f t="shared" ref="N3:N21" si="2">LEFT(B3,FIND(" ",B3)-1)</f>
        <v>Student</v>
      </c>
      <c r="O3" s="13" t="str">
        <f t="shared" ref="O3:O21" si="3">UPPER(B3)</f>
        <v>STUDENT 2</v>
      </c>
      <c r="P3" s="13" t="str">
        <f t="shared" ref="P3:P21" si="4">IF(G3&gt;80,"Top Student","-")</f>
        <v>-</v>
      </c>
    </row>
    <row r="4" spans="1:16" x14ac:dyDescent="0.35">
      <c r="A4" s="3">
        <v>1003</v>
      </c>
      <c r="B4" s="3" t="s">
        <v>8</v>
      </c>
      <c r="C4" s="3">
        <v>97</v>
      </c>
      <c r="D4" s="3">
        <v>60</v>
      </c>
      <c r="E4" s="3">
        <v>51</v>
      </c>
      <c r="F4" s="11">
        <v>43461</v>
      </c>
      <c r="G4" s="13">
        <f t="shared" ref="G3:G21" si="5">AVERAGE(C4:E4)</f>
        <v>69.333333333333329</v>
      </c>
      <c r="H4" s="13" t="str">
        <f t="shared" ref="H3:H21" si="6">IF(G4&gt;=80,"A",IF(G4&gt;=60,"B","C"))</f>
        <v>B</v>
      </c>
      <c r="I4" s="15"/>
      <c r="J4" s="15"/>
      <c r="K4" s="15"/>
      <c r="L4" s="13">
        <f t="shared" si="0"/>
        <v>2018</v>
      </c>
      <c r="M4" s="13">
        <f t="shared" ca="1" si="1"/>
        <v>2672</v>
      </c>
      <c r="N4" s="13" t="str">
        <f t="shared" si="2"/>
        <v>Student</v>
      </c>
      <c r="O4" s="13" t="str">
        <f t="shared" si="3"/>
        <v>STUDENT 3</v>
      </c>
      <c r="P4" s="13" t="str">
        <f t="shared" si="4"/>
        <v>-</v>
      </c>
    </row>
    <row r="5" spans="1:16" x14ac:dyDescent="0.35">
      <c r="A5" s="3">
        <v>1004</v>
      </c>
      <c r="B5" s="3" t="s">
        <v>9</v>
      </c>
      <c r="C5" s="3">
        <v>74</v>
      </c>
      <c r="D5" s="3">
        <v>55</v>
      </c>
      <c r="E5" s="3">
        <v>46</v>
      </c>
      <c r="F5" s="11">
        <v>43641</v>
      </c>
      <c r="G5" s="13">
        <f t="shared" si="5"/>
        <v>58.333333333333336</v>
      </c>
      <c r="H5" s="13" t="str">
        <f>IF(G5&gt;=80,"A",IF(G5&gt;=60,"B","C"))</f>
        <v>C</v>
      </c>
      <c r="I5" s="15"/>
      <c r="J5" s="15"/>
      <c r="K5" s="15"/>
      <c r="L5" s="13">
        <f t="shared" si="0"/>
        <v>2019</v>
      </c>
      <c r="M5" s="13">
        <f t="shared" ca="1" si="1"/>
        <v>2492</v>
      </c>
      <c r="N5" s="13" t="str">
        <f t="shared" si="2"/>
        <v>Student</v>
      </c>
      <c r="O5" s="13" t="str">
        <f t="shared" si="3"/>
        <v>STUDENT 4</v>
      </c>
      <c r="P5" s="13" t="str">
        <f t="shared" si="4"/>
        <v>-</v>
      </c>
    </row>
    <row r="6" spans="1:16" x14ac:dyDescent="0.35">
      <c r="A6" s="3">
        <v>1005</v>
      </c>
      <c r="B6" s="3" t="s">
        <v>10</v>
      </c>
      <c r="C6" s="3">
        <v>68</v>
      </c>
      <c r="D6" s="3">
        <v>74</v>
      </c>
      <c r="E6" s="3">
        <v>84</v>
      </c>
      <c r="F6" s="11">
        <v>43821</v>
      </c>
      <c r="G6" s="13">
        <f t="shared" si="5"/>
        <v>75.333333333333329</v>
      </c>
      <c r="H6" s="13" t="str">
        <f t="shared" si="6"/>
        <v>B</v>
      </c>
      <c r="I6" s="15"/>
      <c r="J6" s="15"/>
      <c r="K6" s="15"/>
      <c r="L6" s="13">
        <f t="shared" si="0"/>
        <v>2019</v>
      </c>
      <c r="M6" s="13">
        <f t="shared" ca="1" si="1"/>
        <v>2312</v>
      </c>
      <c r="N6" s="13" t="str">
        <f t="shared" si="2"/>
        <v>Student</v>
      </c>
      <c r="O6" s="13" t="str">
        <f t="shared" si="3"/>
        <v>STUDENT 5</v>
      </c>
      <c r="P6" s="13" t="str">
        <f t="shared" si="4"/>
        <v>-</v>
      </c>
    </row>
    <row r="7" spans="1:16" x14ac:dyDescent="0.35">
      <c r="A7" s="3">
        <v>1006</v>
      </c>
      <c r="B7" s="3" t="s">
        <v>11</v>
      </c>
      <c r="C7" s="3">
        <v>80</v>
      </c>
      <c r="D7" s="3">
        <v>70</v>
      </c>
      <c r="E7" s="3">
        <v>65</v>
      </c>
      <c r="F7" s="11">
        <v>44001</v>
      </c>
      <c r="G7" s="13">
        <f t="shared" si="5"/>
        <v>71.666666666666671</v>
      </c>
      <c r="H7" s="13" t="str">
        <f t="shared" si="6"/>
        <v>B</v>
      </c>
      <c r="I7" s="15"/>
      <c r="J7" s="15"/>
      <c r="K7" s="15"/>
      <c r="L7" s="13">
        <f t="shared" si="0"/>
        <v>2020</v>
      </c>
      <c r="M7" s="13">
        <f t="shared" ca="1" si="1"/>
        <v>2132</v>
      </c>
      <c r="N7" s="13" t="str">
        <f t="shared" si="2"/>
        <v>Student</v>
      </c>
      <c r="O7" s="13" t="str">
        <f t="shared" si="3"/>
        <v>STUDENT 6</v>
      </c>
      <c r="P7" s="13" t="str">
        <f t="shared" si="4"/>
        <v>-</v>
      </c>
    </row>
    <row r="8" spans="1:16" x14ac:dyDescent="0.35">
      <c r="A8" s="3">
        <v>1007</v>
      </c>
      <c r="B8" s="3" t="s">
        <v>12</v>
      </c>
      <c r="C8" s="3">
        <v>75</v>
      </c>
      <c r="D8" s="3">
        <v>47</v>
      </c>
      <c r="E8" s="3">
        <v>78</v>
      </c>
      <c r="F8" s="11">
        <v>44181</v>
      </c>
      <c r="G8" s="13">
        <f t="shared" si="5"/>
        <v>66.666666666666671</v>
      </c>
      <c r="H8" s="13" t="str">
        <f t="shared" si="6"/>
        <v>B</v>
      </c>
      <c r="I8" s="15"/>
      <c r="J8" s="15"/>
      <c r="K8" s="15"/>
      <c r="L8" s="13">
        <f t="shared" si="0"/>
        <v>2020</v>
      </c>
      <c r="M8" s="13">
        <f t="shared" ca="1" si="1"/>
        <v>1952</v>
      </c>
      <c r="N8" s="13" t="str">
        <f t="shared" si="2"/>
        <v>Student</v>
      </c>
      <c r="O8" s="13" t="str">
        <f t="shared" si="3"/>
        <v>STUDENT 7</v>
      </c>
      <c r="P8" s="13" t="str">
        <f t="shared" si="4"/>
        <v>-</v>
      </c>
    </row>
    <row r="9" spans="1:16" x14ac:dyDescent="0.35">
      <c r="A9" s="3">
        <v>1008</v>
      </c>
      <c r="B9" s="3" t="s">
        <v>13</v>
      </c>
      <c r="C9" s="3">
        <v>94</v>
      </c>
      <c r="D9" s="3">
        <v>67</v>
      </c>
      <c r="E9" s="3">
        <v>64</v>
      </c>
      <c r="F9" s="11">
        <v>44361</v>
      </c>
      <c r="G9" s="13">
        <f t="shared" si="5"/>
        <v>75</v>
      </c>
      <c r="H9" s="13" t="str">
        <f t="shared" si="6"/>
        <v>B</v>
      </c>
      <c r="I9" s="15"/>
      <c r="J9" s="15"/>
      <c r="K9" s="15"/>
      <c r="L9" s="13">
        <f t="shared" si="0"/>
        <v>2021</v>
      </c>
      <c r="M9" s="13">
        <f t="shared" ca="1" si="1"/>
        <v>1772</v>
      </c>
      <c r="N9" s="13" t="str">
        <f t="shared" si="2"/>
        <v>Student</v>
      </c>
      <c r="O9" s="13" t="str">
        <f t="shared" si="3"/>
        <v>STUDENT 8</v>
      </c>
      <c r="P9" s="13" t="str">
        <f t="shared" si="4"/>
        <v>-</v>
      </c>
    </row>
    <row r="10" spans="1:16" x14ac:dyDescent="0.35">
      <c r="A10" s="3">
        <v>1009</v>
      </c>
      <c r="B10" s="3" t="s">
        <v>14</v>
      </c>
      <c r="C10" s="3">
        <v>41</v>
      </c>
      <c r="D10" s="3">
        <v>75</v>
      </c>
      <c r="E10" s="3">
        <v>56</v>
      </c>
      <c r="F10" s="11">
        <v>44541</v>
      </c>
      <c r="G10" s="13">
        <f t="shared" si="5"/>
        <v>57.333333333333336</v>
      </c>
      <c r="H10" s="13" t="str">
        <f t="shared" si="6"/>
        <v>C</v>
      </c>
      <c r="I10" s="15"/>
      <c r="J10" s="15"/>
      <c r="K10" s="15"/>
      <c r="L10" s="13">
        <f t="shared" si="0"/>
        <v>2021</v>
      </c>
      <c r="M10" s="13">
        <f t="shared" ca="1" si="1"/>
        <v>1592</v>
      </c>
      <c r="N10" s="13" t="str">
        <f t="shared" si="2"/>
        <v>Student</v>
      </c>
      <c r="O10" s="13" t="str">
        <f t="shared" si="3"/>
        <v>STUDENT 9</v>
      </c>
      <c r="P10" s="13" t="str">
        <f t="shared" si="4"/>
        <v>-</v>
      </c>
    </row>
    <row r="11" spans="1:16" x14ac:dyDescent="0.35">
      <c r="A11" s="3">
        <v>1010</v>
      </c>
      <c r="B11" s="3" t="s">
        <v>15</v>
      </c>
      <c r="C11" s="3">
        <v>98</v>
      </c>
      <c r="D11" s="3">
        <v>54</v>
      </c>
      <c r="E11" s="3">
        <v>58</v>
      </c>
      <c r="F11" s="11">
        <v>44721</v>
      </c>
      <c r="G11" s="13">
        <f t="shared" si="5"/>
        <v>70</v>
      </c>
      <c r="H11" s="13" t="str">
        <f t="shared" si="6"/>
        <v>B</v>
      </c>
      <c r="I11" s="15"/>
      <c r="J11" s="15"/>
      <c r="K11" s="15"/>
      <c r="L11" s="13">
        <f t="shared" si="0"/>
        <v>2022</v>
      </c>
      <c r="M11" s="13">
        <f t="shared" ca="1" si="1"/>
        <v>1412</v>
      </c>
      <c r="N11" s="13" t="str">
        <f t="shared" si="2"/>
        <v>Student</v>
      </c>
      <c r="O11" s="13" t="str">
        <f t="shared" si="3"/>
        <v>STUDENT 10</v>
      </c>
      <c r="P11" s="13" t="str">
        <f t="shared" si="4"/>
        <v>-</v>
      </c>
    </row>
    <row r="12" spans="1:16" x14ac:dyDescent="0.35">
      <c r="A12" s="3">
        <v>1011</v>
      </c>
      <c r="B12" s="3" t="s">
        <v>16</v>
      </c>
      <c r="C12" s="3">
        <v>73</v>
      </c>
      <c r="D12" s="3">
        <v>79</v>
      </c>
      <c r="E12" s="3">
        <v>53</v>
      </c>
      <c r="F12" s="11">
        <v>44901</v>
      </c>
      <c r="G12" s="13">
        <f t="shared" si="5"/>
        <v>68.333333333333329</v>
      </c>
      <c r="H12" s="13" t="str">
        <f t="shared" si="6"/>
        <v>B</v>
      </c>
      <c r="I12" s="15"/>
      <c r="J12" s="15"/>
      <c r="K12" s="15"/>
      <c r="L12" s="13">
        <f t="shared" si="0"/>
        <v>2022</v>
      </c>
      <c r="M12" s="13">
        <f t="shared" ca="1" si="1"/>
        <v>1232</v>
      </c>
      <c r="N12" s="13" t="str">
        <f t="shared" si="2"/>
        <v>Student</v>
      </c>
      <c r="O12" s="13" t="str">
        <f t="shared" si="3"/>
        <v>STUDENT 11</v>
      </c>
      <c r="P12" s="13" t="str">
        <f t="shared" si="4"/>
        <v>-</v>
      </c>
    </row>
    <row r="13" spans="1:16" x14ac:dyDescent="0.35">
      <c r="A13" s="3">
        <v>1012</v>
      </c>
      <c r="B13" s="3" t="s">
        <v>17</v>
      </c>
      <c r="C13" s="3">
        <v>85</v>
      </c>
      <c r="D13" s="3">
        <v>89</v>
      </c>
      <c r="E13" s="3">
        <v>79</v>
      </c>
      <c r="F13" s="11">
        <v>45081</v>
      </c>
      <c r="G13" s="13">
        <f t="shared" si="5"/>
        <v>84.333333333333329</v>
      </c>
      <c r="H13" s="13" t="str">
        <f t="shared" si="6"/>
        <v>A</v>
      </c>
      <c r="I13" s="15"/>
      <c r="J13" s="15"/>
      <c r="K13" s="15"/>
      <c r="L13" s="13">
        <f t="shared" si="0"/>
        <v>2023</v>
      </c>
      <c r="M13" s="13">
        <f t="shared" ca="1" si="1"/>
        <v>1052</v>
      </c>
      <c r="N13" s="13" t="str">
        <f t="shared" si="2"/>
        <v>Student</v>
      </c>
      <c r="O13" s="13" t="str">
        <f t="shared" si="3"/>
        <v>STUDENT 12</v>
      </c>
      <c r="P13" s="13" t="str">
        <f t="shared" si="4"/>
        <v>Top Student</v>
      </c>
    </row>
    <row r="14" spans="1:16" x14ac:dyDescent="0.35">
      <c r="A14" s="3">
        <v>1013</v>
      </c>
      <c r="B14" s="3" t="s">
        <v>18</v>
      </c>
      <c r="C14" s="3">
        <v>98</v>
      </c>
      <c r="D14" s="3">
        <v>90</v>
      </c>
      <c r="E14" s="3">
        <v>97</v>
      </c>
      <c r="F14" s="11">
        <v>45261</v>
      </c>
      <c r="G14" s="13">
        <f t="shared" si="5"/>
        <v>95</v>
      </c>
      <c r="H14" s="13" t="str">
        <f t="shared" si="6"/>
        <v>A</v>
      </c>
      <c r="I14" s="15"/>
      <c r="J14" s="15"/>
      <c r="K14" s="15"/>
      <c r="L14" s="13">
        <f t="shared" si="0"/>
        <v>2023</v>
      </c>
      <c r="M14" s="13">
        <f t="shared" ca="1" si="1"/>
        <v>872</v>
      </c>
      <c r="N14" s="13" t="str">
        <f t="shared" si="2"/>
        <v>Student</v>
      </c>
      <c r="O14" s="13" t="str">
        <f t="shared" si="3"/>
        <v>STUDENT 13</v>
      </c>
      <c r="P14" s="13" t="str">
        <f t="shared" si="4"/>
        <v>Top Student</v>
      </c>
    </row>
    <row r="15" spans="1:16" x14ac:dyDescent="0.35">
      <c r="A15" s="3">
        <v>1014</v>
      </c>
      <c r="B15" s="3" t="s">
        <v>19</v>
      </c>
      <c r="C15" s="3">
        <v>93</v>
      </c>
      <c r="D15" s="3">
        <v>40</v>
      </c>
      <c r="E15" s="3">
        <v>44</v>
      </c>
      <c r="F15" s="11">
        <v>45441</v>
      </c>
      <c r="G15" s="13">
        <f t="shared" si="5"/>
        <v>59</v>
      </c>
      <c r="H15" s="13" t="str">
        <f t="shared" si="6"/>
        <v>C</v>
      </c>
      <c r="I15" s="15"/>
      <c r="J15" s="15"/>
      <c r="K15" s="15"/>
      <c r="L15" s="13">
        <f t="shared" si="0"/>
        <v>2024</v>
      </c>
      <c r="M15" s="13">
        <f t="shared" ca="1" si="1"/>
        <v>692</v>
      </c>
      <c r="N15" s="13" t="str">
        <f t="shared" si="2"/>
        <v>Student</v>
      </c>
      <c r="O15" s="13" t="str">
        <f t="shared" si="3"/>
        <v>STUDENT 14</v>
      </c>
      <c r="P15" s="13" t="str">
        <f t="shared" si="4"/>
        <v>-</v>
      </c>
    </row>
    <row r="16" spans="1:16" x14ac:dyDescent="0.35">
      <c r="A16" s="3">
        <v>1015</v>
      </c>
      <c r="B16" s="3" t="s">
        <v>20</v>
      </c>
      <c r="C16" s="3">
        <v>70</v>
      </c>
      <c r="D16" s="3">
        <v>51</v>
      </c>
      <c r="E16" s="3">
        <v>75</v>
      </c>
      <c r="F16" s="11">
        <v>45621</v>
      </c>
      <c r="G16" s="13">
        <f t="shared" si="5"/>
        <v>65.333333333333329</v>
      </c>
      <c r="H16" s="13" t="str">
        <f t="shared" si="6"/>
        <v>B</v>
      </c>
      <c r="I16" s="15"/>
      <c r="J16" s="15"/>
      <c r="K16" s="15"/>
      <c r="L16" s="13">
        <f t="shared" si="0"/>
        <v>2024</v>
      </c>
      <c r="M16" s="13">
        <f t="shared" ca="1" si="1"/>
        <v>512</v>
      </c>
      <c r="N16" s="13" t="str">
        <f t="shared" si="2"/>
        <v>Student</v>
      </c>
      <c r="O16" s="13" t="str">
        <f t="shared" si="3"/>
        <v>STUDENT 15</v>
      </c>
      <c r="P16" s="13" t="str">
        <f t="shared" si="4"/>
        <v>-</v>
      </c>
    </row>
    <row r="17" spans="1:16" x14ac:dyDescent="0.35">
      <c r="A17" s="3">
        <v>1016</v>
      </c>
      <c r="B17" s="3" t="s">
        <v>21</v>
      </c>
      <c r="C17" s="3">
        <v>98</v>
      </c>
      <c r="D17" s="3">
        <v>77</v>
      </c>
      <c r="E17" s="3">
        <v>60</v>
      </c>
      <c r="F17" s="11">
        <v>45801</v>
      </c>
      <c r="G17" s="13">
        <f t="shared" si="5"/>
        <v>78.333333333333329</v>
      </c>
      <c r="H17" s="13" t="str">
        <f t="shared" si="6"/>
        <v>B</v>
      </c>
      <c r="I17" s="15"/>
      <c r="J17" s="15"/>
      <c r="K17" s="15"/>
      <c r="L17" s="13">
        <f t="shared" si="0"/>
        <v>2025</v>
      </c>
      <c r="M17" s="13">
        <f t="shared" ca="1" si="1"/>
        <v>332</v>
      </c>
      <c r="N17" s="13" t="str">
        <f t="shared" si="2"/>
        <v>Student</v>
      </c>
      <c r="O17" s="13" t="str">
        <f t="shared" si="3"/>
        <v>STUDENT 16</v>
      </c>
      <c r="P17" s="13" t="str">
        <f t="shared" si="4"/>
        <v>-</v>
      </c>
    </row>
    <row r="18" spans="1:16" x14ac:dyDescent="0.35">
      <c r="A18" s="3">
        <v>1017</v>
      </c>
      <c r="B18" s="3" t="s">
        <v>22</v>
      </c>
      <c r="C18" s="3">
        <v>66</v>
      </c>
      <c r="D18" s="3">
        <v>59</v>
      </c>
      <c r="E18" s="3">
        <v>40</v>
      </c>
      <c r="F18" s="11">
        <v>45981</v>
      </c>
      <c r="G18" s="13">
        <f t="shared" si="5"/>
        <v>55</v>
      </c>
      <c r="H18" s="13" t="str">
        <f t="shared" si="6"/>
        <v>C</v>
      </c>
      <c r="I18" s="15"/>
      <c r="J18" s="15"/>
      <c r="K18" s="15"/>
      <c r="L18" s="13">
        <f t="shared" si="0"/>
        <v>2025</v>
      </c>
      <c r="M18" s="13">
        <f t="shared" ca="1" si="1"/>
        <v>152</v>
      </c>
      <c r="N18" s="13" t="str">
        <f t="shared" si="2"/>
        <v>Student</v>
      </c>
      <c r="O18" s="13" t="str">
        <f t="shared" si="3"/>
        <v>STUDENT 17</v>
      </c>
      <c r="P18" s="13" t="str">
        <f t="shared" si="4"/>
        <v>-</v>
      </c>
    </row>
    <row r="19" spans="1:16" x14ac:dyDescent="0.35">
      <c r="A19" s="3">
        <v>1018</v>
      </c>
      <c r="B19" s="3" t="s">
        <v>23</v>
      </c>
      <c r="C19" s="3">
        <v>82</v>
      </c>
      <c r="D19" s="3">
        <v>48</v>
      </c>
      <c r="E19" s="3">
        <v>79</v>
      </c>
      <c r="F19" s="11">
        <v>46161</v>
      </c>
      <c r="G19" s="13">
        <f t="shared" si="5"/>
        <v>69.666666666666671</v>
      </c>
      <c r="H19" s="13" t="str">
        <f t="shared" si="6"/>
        <v>B</v>
      </c>
      <c r="I19" s="15"/>
      <c r="J19" s="15"/>
      <c r="K19" s="15"/>
      <c r="L19" s="13">
        <f t="shared" si="0"/>
        <v>2026</v>
      </c>
      <c r="M19" s="13">
        <f t="shared" ca="1" si="1"/>
        <v>-28</v>
      </c>
      <c r="N19" s="13" t="str">
        <f t="shared" si="2"/>
        <v>Student</v>
      </c>
      <c r="O19" s="13" t="str">
        <f t="shared" si="3"/>
        <v>STUDENT 18</v>
      </c>
      <c r="P19" s="13" t="str">
        <f t="shared" si="4"/>
        <v>-</v>
      </c>
    </row>
    <row r="20" spans="1:16" x14ac:dyDescent="0.35">
      <c r="A20" s="3">
        <v>1019</v>
      </c>
      <c r="B20" s="3" t="s">
        <v>24</v>
      </c>
      <c r="C20" s="3">
        <v>90</v>
      </c>
      <c r="D20" s="3">
        <v>78</v>
      </c>
      <c r="E20" s="3">
        <v>60</v>
      </c>
      <c r="F20" s="11">
        <v>46341</v>
      </c>
      <c r="G20" s="13">
        <f t="shared" si="5"/>
        <v>76</v>
      </c>
      <c r="H20" s="13" t="str">
        <f t="shared" si="6"/>
        <v>B</v>
      </c>
      <c r="I20" s="15"/>
      <c r="J20" s="15"/>
      <c r="K20" s="15"/>
      <c r="L20" s="13">
        <f t="shared" si="0"/>
        <v>2026</v>
      </c>
      <c r="M20" s="13">
        <f t="shared" ca="1" si="1"/>
        <v>-208</v>
      </c>
      <c r="N20" s="13" t="str">
        <f t="shared" si="2"/>
        <v>Student</v>
      </c>
      <c r="O20" s="13" t="str">
        <f t="shared" si="3"/>
        <v>STUDENT 19</v>
      </c>
      <c r="P20" s="13" t="str">
        <f t="shared" si="4"/>
        <v>-</v>
      </c>
    </row>
    <row r="21" spans="1:16" x14ac:dyDescent="0.35">
      <c r="A21" s="3">
        <v>1020</v>
      </c>
      <c r="B21" s="3" t="s">
        <v>25</v>
      </c>
      <c r="C21" s="3">
        <v>83</v>
      </c>
      <c r="D21" s="3">
        <v>92</v>
      </c>
      <c r="E21" s="3">
        <v>55</v>
      </c>
      <c r="F21" s="11">
        <v>46521</v>
      </c>
      <c r="G21" s="13">
        <f t="shared" si="5"/>
        <v>76.666666666666671</v>
      </c>
      <c r="H21" s="13" t="str">
        <f t="shared" si="6"/>
        <v>B</v>
      </c>
      <c r="I21" s="15"/>
      <c r="J21" s="15"/>
      <c r="K21" s="15"/>
      <c r="L21" s="13">
        <f t="shared" si="0"/>
        <v>2027</v>
      </c>
      <c r="M21" s="13">
        <f t="shared" ca="1" si="1"/>
        <v>-388</v>
      </c>
      <c r="N21" s="13" t="str">
        <f t="shared" si="2"/>
        <v>Student</v>
      </c>
      <c r="O21" s="13" t="str">
        <f t="shared" si="3"/>
        <v>STUDENT 20</v>
      </c>
      <c r="P21" s="13" t="str">
        <f t="shared" si="4"/>
        <v>-</v>
      </c>
    </row>
    <row r="22" spans="1:16" x14ac:dyDescent="0.35">
      <c r="A22" s="2"/>
      <c r="B22" s="2"/>
      <c r="C22" s="2"/>
      <c r="D22" s="2"/>
      <c r="E22" s="2"/>
      <c r="F22" s="2"/>
      <c r="I22" s="15"/>
      <c r="J22" s="15"/>
      <c r="K22" s="15"/>
    </row>
    <row r="23" spans="1:16" x14ac:dyDescent="0.35">
      <c r="A23" s="2"/>
      <c r="B23" s="2"/>
      <c r="C23" s="2"/>
      <c r="D23" s="2"/>
      <c r="E23" s="2"/>
      <c r="F23" s="2"/>
    </row>
    <row r="24" spans="1:16" x14ac:dyDescent="0.35">
      <c r="A24" s="2"/>
      <c r="B24" s="2"/>
      <c r="C24" s="2"/>
      <c r="D24" s="2"/>
      <c r="E24" s="2"/>
      <c r="F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BBE1-9993-429D-A9F3-FF725DB24539}">
  <dimension ref="A1:M21"/>
  <sheetViews>
    <sheetView zoomScale="90" zoomScaleNormal="90" workbookViewId="0">
      <selection activeCell="H3" sqref="H3"/>
    </sheetView>
  </sheetViews>
  <sheetFormatPr defaultRowHeight="14.5" x14ac:dyDescent="0.35"/>
  <cols>
    <col min="3" max="3" width="8.453125" customWidth="1"/>
    <col min="4" max="4" width="10.81640625" bestFit="1" customWidth="1"/>
    <col min="6" max="6" width="17.81640625" bestFit="1" customWidth="1"/>
    <col min="7" max="7" width="9.7265625" bestFit="1" customWidth="1"/>
    <col min="8" max="8" width="21.36328125" bestFit="1" customWidth="1"/>
    <col min="9" max="9" width="23.6328125" bestFit="1" customWidth="1"/>
    <col min="10" max="10" width="20.26953125" bestFit="1" customWidth="1"/>
    <col min="11" max="11" width="15.7265625" bestFit="1" customWidth="1"/>
    <col min="12" max="12" width="11.453125" bestFit="1" customWidth="1"/>
    <col min="13" max="13" width="10.26953125" bestFit="1" customWidth="1"/>
  </cols>
  <sheetData>
    <row r="1" spans="1:13" x14ac:dyDescent="0.3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10" t="s">
        <v>31</v>
      </c>
      <c r="G1" s="12" t="s">
        <v>97</v>
      </c>
      <c r="H1" s="12" t="s">
        <v>98</v>
      </c>
      <c r="I1" s="12" t="s">
        <v>99</v>
      </c>
      <c r="J1" s="12" t="s">
        <v>100</v>
      </c>
      <c r="K1" s="16" t="s">
        <v>109</v>
      </c>
      <c r="L1" s="16" t="s">
        <v>110</v>
      </c>
      <c r="M1" s="16" t="s">
        <v>111</v>
      </c>
    </row>
    <row r="2" spans="1:13" x14ac:dyDescent="0.35">
      <c r="A2" s="5">
        <v>2001</v>
      </c>
      <c r="B2" s="5" t="s">
        <v>32</v>
      </c>
      <c r="C2" s="5" t="s">
        <v>33</v>
      </c>
      <c r="D2" s="5" t="s">
        <v>34</v>
      </c>
      <c r="E2" s="5">
        <v>7048</v>
      </c>
      <c r="F2" s="11">
        <v>44927</v>
      </c>
      <c r="G2" s="13">
        <f>SUM(E2:E21)</f>
        <v>507725</v>
      </c>
      <c r="H2" s="13">
        <f>SUMIFS($E$2:$E$21,$C$2:$C$21,"East")</f>
        <v>173932</v>
      </c>
      <c r="I2" s="13">
        <f>AVERAGEIF(E2:E21,"&gt;20000")</f>
        <v>35880.36363636364</v>
      </c>
      <c r="J2" s="13">
        <f>MATCH("Keyboard",B2:B21,0)</f>
        <v>1</v>
      </c>
      <c r="K2" s="13">
        <f>ROUND(E2,2)</f>
        <v>7048</v>
      </c>
      <c r="L2" s="13">
        <f>CEILING(E2,10)</f>
        <v>7050</v>
      </c>
      <c r="M2" s="13">
        <f>FLOOR(E2,10)</f>
        <v>7040</v>
      </c>
    </row>
    <row r="3" spans="1:13" x14ac:dyDescent="0.35">
      <c r="A3" s="5">
        <v>2002</v>
      </c>
      <c r="B3" s="5" t="s">
        <v>35</v>
      </c>
      <c r="C3" s="5" t="s">
        <v>36</v>
      </c>
      <c r="D3" s="5" t="s">
        <v>37</v>
      </c>
      <c r="E3" s="5">
        <v>17428</v>
      </c>
      <c r="F3" s="6">
        <v>44942</v>
      </c>
    </row>
    <row r="4" spans="1:13" x14ac:dyDescent="0.35">
      <c r="A4" s="5">
        <v>2003</v>
      </c>
      <c r="B4" s="5" t="s">
        <v>38</v>
      </c>
      <c r="C4" s="5" t="s">
        <v>33</v>
      </c>
      <c r="D4" s="5" t="s">
        <v>39</v>
      </c>
      <c r="E4" s="5">
        <v>23672</v>
      </c>
      <c r="F4" s="6">
        <v>44957</v>
      </c>
    </row>
    <row r="5" spans="1:13" x14ac:dyDescent="0.35">
      <c r="A5" s="5">
        <v>2004</v>
      </c>
      <c r="B5" s="5" t="s">
        <v>35</v>
      </c>
      <c r="C5" s="5" t="s">
        <v>40</v>
      </c>
      <c r="D5" s="5" t="s">
        <v>41</v>
      </c>
      <c r="E5" s="5">
        <v>5264</v>
      </c>
      <c r="F5" s="6">
        <v>44972</v>
      </c>
    </row>
    <row r="6" spans="1:13" x14ac:dyDescent="0.35">
      <c r="A6" s="5">
        <v>2005</v>
      </c>
      <c r="B6" s="5" t="s">
        <v>32</v>
      </c>
      <c r="C6" s="5" t="s">
        <v>42</v>
      </c>
      <c r="D6" s="5" t="s">
        <v>43</v>
      </c>
      <c r="E6" s="5">
        <v>43388</v>
      </c>
      <c r="F6" s="6">
        <v>44987</v>
      </c>
    </row>
    <row r="7" spans="1:13" x14ac:dyDescent="0.35">
      <c r="A7" s="5">
        <v>2006</v>
      </c>
      <c r="B7" s="5" t="s">
        <v>38</v>
      </c>
      <c r="C7" s="5" t="s">
        <v>42</v>
      </c>
      <c r="D7" s="5" t="s">
        <v>44</v>
      </c>
      <c r="E7" s="5">
        <v>19757</v>
      </c>
      <c r="F7" s="6">
        <v>45002</v>
      </c>
    </row>
    <row r="8" spans="1:13" x14ac:dyDescent="0.35">
      <c r="A8" s="5">
        <v>2007</v>
      </c>
      <c r="B8" s="5" t="s">
        <v>38</v>
      </c>
      <c r="C8" s="5" t="s">
        <v>40</v>
      </c>
      <c r="D8" s="5" t="s">
        <v>45</v>
      </c>
      <c r="E8" s="5">
        <v>32058</v>
      </c>
      <c r="F8" s="6">
        <v>45017</v>
      </c>
    </row>
    <row r="9" spans="1:13" x14ac:dyDescent="0.35">
      <c r="A9" s="5">
        <v>2008</v>
      </c>
      <c r="B9" s="5" t="s">
        <v>32</v>
      </c>
      <c r="C9" s="5" t="s">
        <v>40</v>
      </c>
      <c r="D9" s="5" t="s">
        <v>46</v>
      </c>
      <c r="E9" s="5">
        <v>46429</v>
      </c>
      <c r="F9" s="6">
        <v>45032</v>
      </c>
    </row>
    <row r="10" spans="1:13" x14ac:dyDescent="0.35">
      <c r="A10" s="5">
        <v>2009</v>
      </c>
      <c r="B10" s="5" t="s">
        <v>35</v>
      </c>
      <c r="C10" s="5" t="s">
        <v>40</v>
      </c>
      <c r="D10" s="5" t="s">
        <v>47</v>
      </c>
      <c r="E10" s="5">
        <v>19746</v>
      </c>
      <c r="F10" s="6">
        <v>45047</v>
      </c>
    </row>
    <row r="11" spans="1:13" x14ac:dyDescent="0.35">
      <c r="A11" s="5">
        <v>2010</v>
      </c>
      <c r="B11" s="5" t="s">
        <v>32</v>
      </c>
      <c r="C11" s="5" t="s">
        <v>33</v>
      </c>
      <c r="D11" s="5" t="s">
        <v>48</v>
      </c>
      <c r="E11" s="5">
        <v>35185</v>
      </c>
      <c r="F11" s="6">
        <v>45062</v>
      </c>
    </row>
    <row r="12" spans="1:13" x14ac:dyDescent="0.35">
      <c r="A12" s="5">
        <v>2011</v>
      </c>
      <c r="B12" s="5" t="s">
        <v>32</v>
      </c>
      <c r="C12" s="5" t="s">
        <v>40</v>
      </c>
      <c r="D12" s="5" t="s">
        <v>49</v>
      </c>
      <c r="E12" s="5">
        <v>33920</v>
      </c>
      <c r="F12" s="6">
        <v>45077</v>
      </c>
    </row>
    <row r="13" spans="1:13" x14ac:dyDescent="0.35">
      <c r="A13" s="5">
        <v>2012</v>
      </c>
      <c r="B13" s="5" t="s">
        <v>50</v>
      </c>
      <c r="C13" s="5" t="s">
        <v>42</v>
      </c>
      <c r="D13" s="5" t="s">
        <v>51</v>
      </c>
      <c r="E13" s="5">
        <v>35611</v>
      </c>
      <c r="F13" s="6">
        <v>45092</v>
      </c>
    </row>
    <row r="14" spans="1:13" x14ac:dyDescent="0.35">
      <c r="A14" s="5">
        <v>2013</v>
      </c>
      <c r="B14" s="5" t="s">
        <v>52</v>
      </c>
      <c r="C14" s="5" t="s">
        <v>40</v>
      </c>
      <c r="D14" s="5" t="s">
        <v>53</v>
      </c>
      <c r="E14" s="5">
        <v>15560</v>
      </c>
      <c r="F14" s="6">
        <v>45107</v>
      </c>
    </row>
    <row r="15" spans="1:13" x14ac:dyDescent="0.35">
      <c r="A15" s="5">
        <v>2014</v>
      </c>
      <c r="B15" s="5" t="s">
        <v>52</v>
      </c>
      <c r="C15" s="5" t="s">
        <v>33</v>
      </c>
      <c r="D15" s="5" t="s">
        <v>54</v>
      </c>
      <c r="E15" s="5">
        <v>7283</v>
      </c>
      <c r="F15" s="6">
        <v>45122</v>
      </c>
    </row>
    <row r="16" spans="1:13" x14ac:dyDescent="0.35">
      <c r="A16" s="5">
        <v>2015</v>
      </c>
      <c r="B16" s="5" t="s">
        <v>52</v>
      </c>
      <c r="C16" s="5" t="s">
        <v>40</v>
      </c>
      <c r="D16" s="5" t="s">
        <v>55</v>
      </c>
      <c r="E16" s="5">
        <v>15678</v>
      </c>
      <c r="F16" s="6">
        <v>45137</v>
      </c>
    </row>
    <row r="17" spans="1:6" x14ac:dyDescent="0.35">
      <c r="A17" s="5">
        <v>2016</v>
      </c>
      <c r="B17" s="5" t="s">
        <v>38</v>
      </c>
      <c r="C17" s="5" t="s">
        <v>40</v>
      </c>
      <c r="D17" s="5" t="s">
        <v>56</v>
      </c>
      <c r="E17" s="5">
        <v>5277</v>
      </c>
      <c r="F17" s="6">
        <v>45152</v>
      </c>
    </row>
    <row r="18" spans="1:6" x14ac:dyDescent="0.35">
      <c r="A18" s="5">
        <v>2017</v>
      </c>
      <c r="B18" s="5" t="s">
        <v>50</v>
      </c>
      <c r="C18" s="5" t="s">
        <v>42</v>
      </c>
      <c r="D18" s="5" t="s">
        <v>57</v>
      </c>
      <c r="E18" s="5">
        <v>41871</v>
      </c>
      <c r="F18" s="6">
        <v>45167</v>
      </c>
    </row>
    <row r="19" spans="1:6" x14ac:dyDescent="0.35">
      <c r="A19" s="5">
        <v>2018</v>
      </c>
      <c r="B19" s="5" t="s">
        <v>50</v>
      </c>
      <c r="C19" s="5" t="s">
        <v>36</v>
      </c>
      <c r="D19" s="5" t="s">
        <v>58</v>
      </c>
      <c r="E19" s="5">
        <v>38161</v>
      </c>
      <c r="F19" s="6">
        <v>45182</v>
      </c>
    </row>
    <row r="20" spans="1:6" x14ac:dyDescent="0.35">
      <c r="A20" s="5">
        <v>2019</v>
      </c>
      <c r="B20" s="5" t="s">
        <v>38</v>
      </c>
      <c r="C20" s="5" t="s">
        <v>36</v>
      </c>
      <c r="D20" s="5" t="s">
        <v>59</v>
      </c>
      <c r="E20" s="5">
        <v>30436</v>
      </c>
      <c r="F20" s="6">
        <v>45197</v>
      </c>
    </row>
    <row r="21" spans="1:6" x14ac:dyDescent="0.35">
      <c r="A21" s="5">
        <v>2020</v>
      </c>
      <c r="B21" s="5" t="s">
        <v>35</v>
      </c>
      <c r="C21" s="5" t="s">
        <v>36</v>
      </c>
      <c r="D21" s="5" t="s">
        <v>60</v>
      </c>
      <c r="E21" s="5">
        <v>33953</v>
      </c>
      <c r="F21" s="6">
        <v>45212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459C-E7AA-486A-AD8E-19FF5D635ABA}">
  <dimension ref="A1:H21"/>
  <sheetViews>
    <sheetView workbookViewId="0">
      <selection activeCell="J17" sqref="J17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9.36328125" customWidth="1"/>
    <col min="5" max="5" width="17.81640625" bestFit="1" customWidth="1"/>
    <col min="6" max="6" width="12.54296875" bestFit="1" customWidth="1"/>
    <col min="8" max="8" width="9.90625" bestFit="1" customWidth="1"/>
  </cols>
  <sheetData>
    <row r="1" spans="1:8" x14ac:dyDescent="0.35">
      <c r="A1" s="7" t="s">
        <v>61</v>
      </c>
      <c r="B1" s="7" t="s">
        <v>1</v>
      </c>
      <c r="C1" s="7" t="s">
        <v>62</v>
      </c>
      <c r="D1" s="7" t="s">
        <v>63</v>
      </c>
      <c r="E1" s="10" t="s">
        <v>64</v>
      </c>
      <c r="F1" s="12" t="s">
        <v>101</v>
      </c>
      <c r="G1" s="12" t="s">
        <v>102</v>
      </c>
      <c r="H1" s="12" t="s">
        <v>103</v>
      </c>
    </row>
    <row r="2" spans="1:8" x14ac:dyDescent="0.35">
      <c r="A2" s="8">
        <v>3001</v>
      </c>
      <c r="B2" s="8" t="s">
        <v>65</v>
      </c>
      <c r="C2" s="8" t="s">
        <v>66</v>
      </c>
      <c r="D2" s="8">
        <v>86766</v>
      </c>
      <c r="E2" s="11">
        <v>42005</v>
      </c>
      <c r="F2" s="13">
        <f>MAX(D2:D21)</f>
        <v>116284</v>
      </c>
      <c r="G2" s="13">
        <f>COUNTIF(C2:C21,"HR")</f>
        <v>6</v>
      </c>
      <c r="H2" s="13">
        <f ca="1">IF(E2&lt;=TODAY(),TODAY()-E2,"-")</f>
        <v>4128</v>
      </c>
    </row>
    <row r="3" spans="1:8" x14ac:dyDescent="0.35">
      <c r="A3" s="8">
        <v>3002</v>
      </c>
      <c r="B3" s="8" t="s">
        <v>67</v>
      </c>
      <c r="C3" s="8" t="s">
        <v>66</v>
      </c>
      <c r="D3" s="8">
        <v>31943</v>
      </c>
      <c r="E3" s="9">
        <v>42255</v>
      </c>
      <c r="H3" s="13">
        <f t="shared" ref="H3:H21" ca="1" si="0">IF(E3&lt;=TODAY(),TODAY()-E3,"-")</f>
        <v>3878</v>
      </c>
    </row>
    <row r="4" spans="1:8" x14ac:dyDescent="0.35">
      <c r="A4" s="8">
        <v>3003</v>
      </c>
      <c r="B4" s="8" t="s">
        <v>68</v>
      </c>
      <c r="C4" s="8" t="s">
        <v>69</v>
      </c>
      <c r="D4" s="8">
        <v>63374</v>
      </c>
      <c r="E4" s="9">
        <v>42505</v>
      </c>
      <c r="H4" s="13">
        <f t="shared" ca="1" si="0"/>
        <v>3628</v>
      </c>
    </row>
    <row r="5" spans="1:8" x14ac:dyDescent="0.35">
      <c r="A5" s="8">
        <v>3004</v>
      </c>
      <c r="B5" s="8" t="s">
        <v>70</v>
      </c>
      <c r="C5" s="8" t="s">
        <v>66</v>
      </c>
      <c r="D5" s="8">
        <v>109972</v>
      </c>
      <c r="E5" s="9">
        <v>42755</v>
      </c>
      <c r="H5" s="13">
        <f t="shared" ca="1" si="0"/>
        <v>3378</v>
      </c>
    </row>
    <row r="6" spans="1:8" x14ac:dyDescent="0.35">
      <c r="A6" s="8">
        <v>3005</v>
      </c>
      <c r="B6" s="8" t="s">
        <v>71</v>
      </c>
      <c r="C6" s="8" t="s">
        <v>72</v>
      </c>
      <c r="D6" s="8">
        <v>54149</v>
      </c>
      <c r="E6" s="9">
        <v>43005</v>
      </c>
      <c r="H6" s="13">
        <f t="shared" ca="1" si="0"/>
        <v>3128</v>
      </c>
    </row>
    <row r="7" spans="1:8" x14ac:dyDescent="0.35">
      <c r="A7" s="8">
        <v>3006</v>
      </c>
      <c r="B7" s="8" t="s">
        <v>73</v>
      </c>
      <c r="C7" s="8" t="s">
        <v>72</v>
      </c>
      <c r="D7" s="8">
        <v>78689</v>
      </c>
      <c r="E7" s="9">
        <v>43255</v>
      </c>
      <c r="H7" s="13">
        <f t="shared" ca="1" si="0"/>
        <v>2878</v>
      </c>
    </row>
    <row r="8" spans="1:8" x14ac:dyDescent="0.35">
      <c r="A8" s="8">
        <v>3007</v>
      </c>
      <c r="B8" s="8" t="s">
        <v>74</v>
      </c>
      <c r="C8" s="8" t="s">
        <v>75</v>
      </c>
      <c r="D8" s="8">
        <v>35960</v>
      </c>
      <c r="E8" s="9">
        <v>43505</v>
      </c>
      <c r="H8" s="13">
        <f t="shared" ca="1" si="0"/>
        <v>2628</v>
      </c>
    </row>
    <row r="9" spans="1:8" x14ac:dyDescent="0.35">
      <c r="A9" s="8">
        <v>3008</v>
      </c>
      <c r="B9" s="8" t="s">
        <v>76</v>
      </c>
      <c r="C9" s="8" t="s">
        <v>72</v>
      </c>
      <c r="D9" s="8">
        <v>91659</v>
      </c>
      <c r="E9" s="9">
        <v>43755</v>
      </c>
      <c r="H9" s="13">
        <f t="shared" ca="1" si="0"/>
        <v>2378</v>
      </c>
    </row>
    <row r="10" spans="1:8" x14ac:dyDescent="0.35">
      <c r="A10" s="8">
        <v>3009</v>
      </c>
      <c r="B10" s="8" t="s">
        <v>77</v>
      </c>
      <c r="C10" s="8" t="s">
        <v>72</v>
      </c>
      <c r="D10" s="8">
        <v>90423</v>
      </c>
      <c r="E10" s="9">
        <v>44005</v>
      </c>
      <c r="H10" s="13">
        <f t="shared" ca="1" si="0"/>
        <v>2128</v>
      </c>
    </row>
    <row r="11" spans="1:8" x14ac:dyDescent="0.35">
      <c r="A11" s="8">
        <v>3010</v>
      </c>
      <c r="B11" s="8" t="s">
        <v>78</v>
      </c>
      <c r="C11" s="8" t="s">
        <v>69</v>
      </c>
      <c r="D11" s="8">
        <v>107877</v>
      </c>
      <c r="E11" s="9">
        <v>44255</v>
      </c>
      <c r="H11" s="13">
        <f t="shared" ca="1" si="0"/>
        <v>1878</v>
      </c>
    </row>
    <row r="12" spans="1:8" x14ac:dyDescent="0.35">
      <c r="A12" s="8">
        <v>3011</v>
      </c>
      <c r="B12" s="8" t="s">
        <v>79</v>
      </c>
      <c r="C12" s="8" t="s">
        <v>66</v>
      </c>
      <c r="D12" s="8">
        <v>107634</v>
      </c>
      <c r="E12" s="9">
        <v>44505</v>
      </c>
      <c r="H12" s="13">
        <f t="shared" ca="1" si="0"/>
        <v>1628</v>
      </c>
    </row>
    <row r="13" spans="1:8" x14ac:dyDescent="0.35">
      <c r="A13" s="8">
        <v>3012</v>
      </c>
      <c r="B13" s="8" t="s">
        <v>80</v>
      </c>
      <c r="C13" s="8" t="s">
        <v>66</v>
      </c>
      <c r="D13" s="8">
        <v>35226</v>
      </c>
      <c r="E13" s="9">
        <v>44755</v>
      </c>
      <c r="H13" s="13">
        <f t="shared" ca="1" si="0"/>
        <v>1378</v>
      </c>
    </row>
    <row r="14" spans="1:8" x14ac:dyDescent="0.35">
      <c r="A14" s="8">
        <v>3013</v>
      </c>
      <c r="B14" s="8" t="s">
        <v>81</v>
      </c>
      <c r="C14" s="8" t="s">
        <v>69</v>
      </c>
      <c r="D14" s="8">
        <v>40872</v>
      </c>
      <c r="E14" s="9">
        <v>45005</v>
      </c>
      <c r="H14" s="13">
        <f t="shared" ca="1" si="0"/>
        <v>1128</v>
      </c>
    </row>
    <row r="15" spans="1:8" x14ac:dyDescent="0.35">
      <c r="A15" s="8">
        <v>3014</v>
      </c>
      <c r="B15" s="8" t="s">
        <v>82</v>
      </c>
      <c r="C15" s="8" t="s">
        <v>69</v>
      </c>
      <c r="D15" s="8">
        <v>55378</v>
      </c>
      <c r="E15" s="9">
        <v>45255</v>
      </c>
      <c r="H15" s="13">
        <f t="shared" ca="1" si="0"/>
        <v>878</v>
      </c>
    </row>
    <row r="16" spans="1:8" x14ac:dyDescent="0.35">
      <c r="A16" s="8">
        <v>3015</v>
      </c>
      <c r="B16" s="8" t="s">
        <v>83</v>
      </c>
      <c r="C16" s="8" t="s">
        <v>69</v>
      </c>
      <c r="D16" s="8">
        <v>63297</v>
      </c>
      <c r="E16" s="9">
        <v>45505</v>
      </c>
      <c r="H16" s="13">
        <f t="shared" ca="1" si="0"/>
        <v>628</v>
      </c>
    </row>
    <row r="17" spans="1:8" x14ac:dyDescent="0.35">
      <c r="A17" s="8">
        <v>3016</v>
      </c>
      <c r="B17" s="8" t="s">
        <v>84</v>
      </c>
      <c r="C17" s="8" t="s">
        <v>66</v>
      </c>
      <c r="D17" s="8">
        <v>114173</v>
      </c>
      <c r="E17" s="9">
        <v>45755</v>
      </c>
      <c r="H17" s="13">
        <f t="shared" ca="1" si="0"/>
        <v>378</v>
      </c>
    </row>
    <row r="18" spans="1:8" x14ac:dyDescent="0.35">
      <c r="A18" s="8">
        <v>3017</v>
      </c>
      <c r="B18" s="8" t="s">
        <v>85</v>
      </c>
      <c r="C18" s="8" t="s">
        <v>69</v>
      </c>
      <c r="D18" s="8">
        <v>86915</v>
      </c>
      <c r="E18" s="9">
        <v>46005</v>
      </c>
      <c r="H18" s="13">
        <f t="shared" ca="1" si="0"/>
        <v>128</v>
      </c>
    </row>
    <row r="19" spans="1:8" x14ac:dyDescent="0.35">
      <c r="A19" s="8">
        <v>3018</v>
      </c>
      <c r="B19" s="8" t="s">
        <v>86</v>
      </c>
      <c r="C19" s="8" t="s">
        <v>72</v>
      </c>
      <c r="D19" s="8">
        <v>116284</v>
      </c>
      <c r="E19" s="9">
        <v>46255</v>
      </c>
      <c r="H19" s="13" t="str">
        <f t="shared" ca="1" si="0"/>
        <v>-</v>
      </c>
    </row>
    <row r="20" spans="1:8" x14ac:dyDescent="0.35">
      <c r="A20" s="8">
        <v>3019</v>
      </c>
      <c r="B20" s="8" t="s">
        <v>87</v>
      </c>
      <c r="C20" s="8" t="s">
        <v>75</v>
      </c>
      <c r="D20" s="8">
        <v>116283</v>
      </c>
      <c r="E20" s="9">
        <v>46505</v>
      </c>
      <c r="H20" s="13" t="str">
        <f t="shared" ca="1" si="0"/>
        <v>-</v>
      </c>
    </row>
    <row r="21" spans="1:8" x14ac:dyDescent="0.35">
      <c r="A21" s="8">
        <v>3020</v>
      </c>
      <c r="B21" s="8" t="s">
        <v>88</v>
      </c>
      <c r="C21" s="8" t="s">
        <v>75</v>
      </c>
      <c r="D21" s="8">
        <v>99924</v>
      </c>
      <c r="E21" s="9">
        <v>46755</v>
      </c>
      <c r="H21" s="13" t="str">
        <f t="shared" ca="1" si="0"/>
        <v>-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C74C-CF38-42F5-8A02-755F3E1FA6AD}">
  <dimension ref="A1:E21"/>
  <sheetViews>
    <sheetView workbookViewId="0">
      <selection activeCell="D11" sqref="D11"/>
    </sheetView>
  </sheetViews>
  <sheetFormatPr defaultRowHeight="14.5" x14ac:dyDescent="0.35"/>
  <cols>
    <col min="1" max="1" width="24.36328125" bestFit="1" customWidth="1"/>
    <col min="2" max="2" width="28.36328125" bestFit="1" customWidth="1"/>
    <col min="3" max="3" width="22" bestFit="1" customWidth="1"/>
    <col min="4" max="4" width="16.08984375" bestFit="1" customWidth="1"/>
    <col min="5" max="5" width="18.54296875" bestFit="1" customWidth="1"/>
  </cols>
  <sheetData>
    <row r="1" spans="1:5" x14ac:dyDescent="0.35">
      <c r="A1" s="16" t="s">
        <v>104</v>
      </c>
      <c r="B1" s="16" t="s">
        <v>105</v>
      </c>
      <c r="C1" s="16" t="s">
        <v>107</v>
      </c>
      <c r="D1" s="16" t="s">
        <v>108</v>
      </c>
      <c r="E1" s="16" t="s">
        <v>113</v>
      </c>
    </row>
    <row r="2" spans="1:5" x14ac:dyDescent="0.35">
      <c r="A2" s="13">
        <f>VLOOKUP(3001,Employee!A2:D21, 4,FALSE )</f>
        <v>86766</v>
      </c>
      <c r="B2" s="13">
        <f>INDEX(Employee!$D:$D, MATCH(3001, Employee!$A:$A, 0))</f>
        <v>86766</v>
      </c>
      <c r="C2" s="13">
        <f>IFERROR(VLOOKUP(3001,Employee!$A:$D,4,FALSE),"Not Found")</f>
        <v>86766</v>
      </c>
      <c r="D2" s="13" t="str">
        <f ca="1">INDIRECT("Students!B2")</f>
        <v>Student 1</v>
      </c>
      <c r="E2" s="13" t="str">
        <f ca="1">OFFSET(Students!B2,1,0)</f>
        <v>Student 2</v>
      </c>
    </row>
    <row r="3" spans="1:5" x14ac:dyDescent="0.35">
      <c r="A3" s="13">
        <f>VLOOKUP(3002,Employee!A3:D22, 4,FALSE )</f>
        <v>31943</v>
      </c>
      <c r="B3" s="13">
        <f>INDEX(Employee!$D:$D, MATCH(3002, Employee!$A:$A, 0))</f>
        <v>31943</v>
      </c>
      <c r="C3" s="13">
        <f>IFERROR(VLOOKUP(3002,Employee!$A:$D,4,FALSE),"Not Found")</f>
        <v>31943</v>
      </c>
    </row>
    <row r="4" spans="1:5" x14ac:dyDescent="0.35">
      <c r="A4" s="13">
        <f>VLOOKUP(3003,Employee!A4:D23, 4,FALSE )</f>
        <v>63374</v>
      </c>
      <c r="B4" s="13">
        <f>INDEX(Employee!$D:$D, MATCH(3003, Employee!$A:$A, 0))</f>
        <v>63374</v>
      </c>
      <c r="C4" s="13">
        <f>IFERROR(VLOOKUP(3003,Employee!$A:$D,4,FALSE),"Not Found")</f>
        <v>63374</v>
      </c>
    </row>
    <row r="5" spans="1:5" x14ac:dyDescent="0.35">
      <c r="A5" s="13">
        <f>VLOOKUP(3004,Employee!A5:D24, 4,FALSE )</f>
        <v>109972</v>
      </c>
      <c r="B5" s="13">
        <f>INDEX(Employee!$D:$D, MATCH(3004, Employee!$A:$A, 0))</f>
        <v>109972</v>
      </c>
      <c r="C5" s="13">
        <f>IFERROR(VLOOKUP(3004,Employee!$A:$D,4,FALSE),"Not Found")</f>
        <v>109972</v>
      </c>
    </row>
    <row r="6" spans="1:5" x14ac:dyDescent="0.35">
      <c r="A6" s="13">
        <f>VLOOKUP(3005,Employee!A6:D25, 4,FALSE )</f>
        <v>54149</v>
      </c>
      <c r="B6" s="13">
        <f>INDEX(Employee!$D:$D, MATCH(3005, Employee!$A:$A, 0))</f>
        <v>54149</v>
      </c>
      <c r="C6" s="13">
        <f>IFERROR(VLOOKUP(3005,Employee!$A:$D,4,FALSE),"Not Found")</f>
        <v>54149</v>
      </c>
    </row>
    <row r="7" spans="1:5" x14ac:dyDescent="0.35">
      <c r="A7" s="13">
        <f>VLOOKUP(3006,Employee!A7:D26, 4,FALSE )</f>
        <v>78689</v>
      </c>
      <c r="B7" s="13">
        <f>INDEX(Employee!$D:$D, MATCH(3006, Employee!$A:$A, 0))</f>
        <v>78689</v>
      </c>
      <c r="C7" s="13">
        <f>IFERROR(VLOOKUP(3006,Employee!$A:$D,4,FALSE),"Not Found")</f>
        <v>78689</v>
      </c>
    </row>
    <row r="8" spans="1:5" x14ac:dyDescent="0.35">
      <c r="A8" s="13">
        <f>VLOOKUP(3007,Employee!A8:D27, 4,FALSE )</f>
        <v>35960</v>
      </c>
      <c r="B8" s="13">
        <f>INDEX(Employee!$D:$D, MATCH(3007, Employee!$A:$A, 0))</f>
        <v>35960</v>
      </c>
      <c r="C8" s="13">
        <f>IFERROR(VLOOKUP(3007,Employee!$A:$D,4,FALSE),"Not Found")</f>
        <v>35960</v>
      </c>
    </row>
    <row r="9" spans="1:5" x14ac:dyDescent="0.35">
      <c r="A9" s="13">
        <f>VLOOKUP(3008,Employee!A9:D28, 4,FALSE )</f>
        <v>91659</v>
      </c>
      <c r="B9" s="13">
        <f>INDEX(Employee!$D:$D, MATCH(3008, Employee!$A:$A, 0))</f>
        <v>91659</v>
      </c>
      <c r="C9" s="13">
        <f>IFERROR(VLOOKUP(3008,Employee!$A:$D,4,FALSE),"Not Found")</f>
        <v>91659</v>
      </c>
    </row>
    <row r="10" spans="1:5" x14ac:dyDescent="0.35">
      <c r="A10" s="13">
        <f>VLOOKUP(3009,Employee!A10:D29, 4,FALSE )</f>
        <v>90423</v>
      </c>
      <c r="B10" s="13">
        <f>INDEX(Employee!$D:$D, MATCH(3009, Employee!$A:$A, 0))</f>
        <v>90423</v>
      </c>
      <c r="C10" s="13">
        <f>IFERROR(VLOOKUP(3009,Employee!$A:$D,4,FALSE),"Not Found")</f>
        <v>90423</v>
      </c>
    </row>
    <row r="11" spans="1:5" x14ac:dyDescent="0.35">
      <c r="A11" s="13">
        <f>VLOOKUP(3010,Employee!A11:D30, 4,FALSE )</f>
        <v>107877</v>
      </c>
      <c r="B11" s="13">
        <f>INDEX(Employee!$D:$D, MATCH(3010, Employee!$A:$A, 0))</f>
        <v>107877</v>
      </c>
      <c r="C11" s="13">
        <f>IFERROR(VLOOKUP(3010,Employee!$A:$D,4,FALSE),"Not Found")</f>
        <v>107877</v>
      </c>
    </row>
    <row r="12" spans="1:5" x14ac:dyDescent="0.35">
      <c r="A12" s="13">
        <f>VLOOKUP(3011,Employee!A12:D31, 4,FALSE )</f>
        <v>107634</v>
      </c>
      <c r="B12" s="13">
        <f>INDEX(Employee!$D:$D, MATCH(3011, Employee!$A:$A, 0))</f>
        <v>107634</v>
      </c>
      <c r="C12" s="13">
        <f>IFERROR(VLOOKUP(3011,Employee!$A:$D,4,FALSE),"Not Found")</f>
        <v>107634</v>
      </c>
    </row>
    <row r="13" spans="1:5" x14ac:dyDescent="0.35">
      <c r="A13" s="13">
        <f>VLOOKUP(3012,Employee!A13:D32, 4,FALSE )</f>
        <v>35226</v>
      </c>
      <c r="B13" s="13">
        <f>INDEX(Employee!$D:$D, MATCH(3012, Employee!$A:$A, 0))</f>
        <v>35226</v>
      </c>
      <c r="C13" s="13">
        <f>IFERROR(VLOOKUP(3012,Employee!$A:$D,4,FALSE),"Not Found")</f>
        <v>35226</v>
      </c>
    </row>
    <row r="14" spans="1:5" x14ac:dyDescent="0.35">
      <c r="A14" s="13">
        <f>VLOOKUP(3013,Employee!A14:D33, 4,FALSE )</f>
        <v>40872</v>
      </c>
      <c r="B14" s="13">
        <f>INDEX(Employee!$D:$D, MATCH(3013, Employee!$A:$A, 0))</f>
        <v>40872</v>
      </c>
      <c r="C14" s="13">
        <f>IFERROR(VLOOKUP(3013,Employee!$A:$D,4,FALSE),"Not Found")</f>
        <v>40872</v>
      </c>
    </row>
    <row r="15" spans="1:5" x14ac:dyDescent="0.35">
      <c r="A15" s="13">
        <f>VLOOKUP(3014,Employee!A15:D34, 4,FALSE )</f>
        <v>55378</v>
      </c>
      <c r="B15" s="13">
        <f>INDEX(Employee!$D:$D, MATCH(3014, Employee!$A:$A, 0))</f>
        <v>55378</v>
      </c>
      <c r="C15" s="13">
        <f>IFERROR(VLOOKUP(3014,Employee!$A:$D,4,FALSE),"Not Found")</f>
        <v>55378</v>
      </c>
    </row>
    <row r="16" spans="1:5" x14ac:dyDescent="0.35">
      <c r="A16" s="13">
        <f>VLOOKUP(3015,Employee!A16:D35, 4,FALSE )</f>
        <v>63297</v>
      </c>
      <c r="B16" s="13">
        <f>INDEX(Employee!$D:$D, MATCH(3015, Employee!$A:$A, 0))</f>
        <v>63297</v>
      </c>
      <c r="C16" s="13">
        <f>IFERROR(VLOOKUP(3015,Employee!$A:$D,4,FALSE),"Not Found")</f>
        <v>63297</v>
      </c>
    </row>
    <row r="17" spans="1:3" x14ac:dyDescent="0.35">
      <c r="A17" s="13">
        <f>VLOOKUP(3016,Employee!A17:D36, 4,FALSE )</f>
        <v>114173</v>
      </c>
      <c r="B17" s="13">
        <f>INDEX(Employee!$D:$D, MATCH(3016, Employee!$A:$A, 0))</f>
        <v>114173</v>
      </c>
      <c r="C17" s="13">
        <f>IFERROR(VLOOKUP(3016,Employee!$A:$D,4,FALSE),"Not Found")</f>
        <v>114173</v>
      </c>
    </row>
    <row r="18" spans="1:3" x14ac:dyDescent="0.35">
      <c r="A18" s="13">
        <f>VLOOKUP(3017,Employee!A18:D37, 4,FALSE )</f>
        <v>86915</v>
      </c>
      <c r="B18" s="13">
        <f>INDEX(Employee!$D:$D, MATCH(3017, Employee!$A:$A, 0))</f>
        <v>86915</v>
      </c>
      <c r="C18" s="13">
        <f>IFERROR(VLOOKUP(3017,Employee!$A:$D,4,FALSE),"Not Found")</f>
        <v>86915</v>
      </c>
    </row>
    <row r="19" spans="1:3" x14ac:dyDescent="0.35">
      <c r="A19" s="13">
        <f>VLOOKUP(3018,Employee!A19:D38, 4,FALSE )</f>
        <v>116284</v>
      </c>
      <c r="B19" s="13">
        <f>INDEX(Employee!$D:$D, MATCH(3018, Employee!$A:$A, 0))</f>
        <v>116284</v>
      </c>
      <c r="C19" s="13">
        <f>IFERROR(VLOOKUP(3018,Employee!$A:$D,4,FALSE),"Not Found")</f>
        <v>116284</v>
      </c>
    </row>
    <row r="20" spans="1:3" x14ac:dyDescent="0.35">
      <c r="A20" s="13">
        <f>VLOOKUP(3019,Employee!A20:D39, 4,FALSE )</f>
        <v>116283</v>
      </c>
      <c r="B20" s="13">
        <f>INDEX(Employee!$D:$D, MATCH(3019, Employee!$A:$A, 0))</f>
        <v>116283</v>
      </c>
      <c r="C20" s="13">
        <f>IFERROR(VLOOKUP(3019,Employee!$A:$D,4,FALSE),"Not Found")</f>
        <v>116283</v>
      </c>
    </row>
    <row r="21" spans="1:3" x14ac:dyDescent="0.35">
      <c r="A21" s="13">
        <f>VLOOKUP(3020,Employee!A21:D40, 4,FALSE )</f>
        <v>99924</v>
      </c>
      <c r="B21" s="13">
        <f>INDEX(Employee!$D:$D, MATCH(3020, Employee!$A:$A, 0))</f>
        <v>99924</v>
      </c>
      <c r="C21" s="13">
        <f>IFERROR(VLOOKUP(3020,Employee!$A:$D,4,FALSE),"Not Found")</f>
        <v>99924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Sales</vt:lpstr>
      <vt:lpstr>Employee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2026-04-21T04:00:46Z</dcterms:created>
  <dcterms:modified xsi:type="dcterms:W3CDTF">2026-04-21T07:03:06Z</dcterms:modified>
</cp:coreProperties>
</file>